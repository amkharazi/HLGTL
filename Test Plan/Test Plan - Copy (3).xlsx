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 Plans" sheetId="4" r:id="rId1"/>
  </sheets>
  <definedNames>
    <definedName name="_xlnm._FilterDatabase" localSheetId="0" hidden="1">'Test Plans'!$G$1:$G$134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4" l="1"/>
  <c r="D4" i="4"/>
  <c r="Q125" i="4"/>
  <c r="Q124" i="4"/>
  <c r="N125" i="4"/>
  <c r="N124" i="4"/>
  <c r="Q123" i="4"/>
  <c r="Q122" i="4"/>
  <c r="N123" i="4"/>
  <c r="N122" i="4"/>
  <c r="Q121" i="4"/>
  <c r="N121" i="4"/>
  <c r="P125" i="4"/>
  <c r="P124" i="4"/>
  <c r="P123" i="4"/>
  <c r="P122" i="4"/>
  <c r="P121" i="4"/>
  <c r="P120" i="4"/>
  <c r="Q113" i="4"/>
  <c r="R113" i="4"/>
  <c r="Q106" i="4"/>
  <c r="R106" i="4"/>
  <c r="R107" i="4" s="1"/>
  <c r="R108" i="4" s="1"/>
  <c r="R109" i="4" s="1"/>
  <c r="R110" i="4" s="1"/>
  <c r="R111" i="4" s="1"/>
  <c r="J121" i="4"/>
  <c r="J122" i="4"/>
  <c r="J123" i="4"/>
  <c r="J124" i="4"/>
  <c r="J125" i="4"/>
  <c r="J120" i="4"/>
  <c r="O125" i="4"/>
  <c r="M125" i="4"/>
  <c r="K125" i="4"/>
  <c r="I125" i="4"/>
  <c r="S124" i="4"/>
  <c r="O124" i="4"/>
  <c r="M124" i="4"/>
  <c r="K124" i="4"/>
  <c r="I124" i="4"/>
  <c r="O123" i="4"/>
  <c r="M123" i="4"/>
  <c r="K123" i="4"/>
  <c r="I123" i="4"/>
  <c r="O122" i="4"/>
  <c r="M122" i="4"/>
  <c r="K122" i="4"/>
  <c r="I122" i="4"/>
  <c r="O121" i="4"/>
  <c r="M121" i="4"/>
  <c r="K121" i="4"/>
  <c r="I121" i="4"/>
  <c r="R120" i="4"/>
  <c r="R121" i="4" s="1"/>
  <c r="R122" i="4" s="1"/>
  <c r="R123" i="4" s="1"/>
  <c r="R124" i="4" s="1"/>
  <c r="R125" i="4" s="1"/>
  <c r="Q120" i="4"/>
  <c r="S123" i="4" s="1"/>
  <c r="O120" i="4"/>
  <c r="M120" i="4"/>
  <c r="K120" i="4"/>
  <c r="I120" i="4"/>
  <c r="J114" i="4"/>
  <c r="J115" i="4"/>
  <c r="J116" i="4"/>
  <c r="J117" i="4"/>
  <c r="J118" i="4"/>
  <c r="J113" i="4"/>
  <c r="Q118" i="4"/>
  <c r="P118" i="4"/>
  <c r="O118" i="4"/>
  <c r="N118" i="4"/>
  <c r="M118" i="4"/>
  <c r="K118" i="4"/>
  <c r="I118" i="4"/>
  <c r="Q117" i="4"/>
  <c r="S117" i="4" s="1"/>
  <c r="P117" i="4"/>
  <c r="O117" i="4"/>
  <c r="N117" i="4"/>
  <c r="M117" i="4"/>
  <c r="K117" i="4"/>
  <c r="I117" i="4"/>
  <c r="Q116" i="4"/>
  <c r="S116" i="4" s="1"/>
  <c r="P116" i="4"/>
  <c r="O116" i="4"/>
  <c r="N116" i="4"/>
  <c r="M116" i="4"/>
  <c r="K116" i="4"/>
  <c r="I116" i="4"/>
  <c r="Q115" i="4"/>
  <c r="S115" i="4" s="1"/>
  <c r="P115" i="4"/>
  <c r="O115" i="4"/>
  <c r="N115" i="4"/>
  <c r="M115" i="4"/>
  <c r="K115" i="4"/>
  <c r="I115" i="4"/>
  <c r="Q114" i="4"/>
  <c r="R114" i="4" s="1"/>
  <c r="R115" i="4" s="1"/>
  <c r="R116" i="4" s="1"/>
  <c r="R117" i="4" s="1"/>
  <c r="R118" i="4" s="1"/>
  <c r="P114" i="4"/>
  <c r="O114" i="4"/>
  <c r="N114" i="4"/>
  <c r="M114" i="4"/>
  <c r="K114" i="4"/>
  <c r="I114" i="4"/>
  <c r="P113" i="4"/>
  <c r="O113" i="4"/>
  <c r="M113" i="4"/>
  <c r="K113" i="4"/>
  <c r="I113" i="4"/>
  <c r="Q111" i="4"/>
  <c r="Q110" i="4"/>
  <c r="P111" i="4"/>
  <c r="P110" i="4"/>
  <c r="N111" i="4"/>
  <c r="N110" i="4"/>
  <c r="Q109" i="4"/>
  <c r="Q108" i="4"/>
  <c r="P109" i="4"/>
  <c r="P108" i="4"/>
  <c r="N109" i="4"/>
  <c r="N108" i="4"/>
  <c r="Q107" i="4"/>
  <c r="P107" i="4"/>
  <c r="N107" i="4"/>
  <c r="P106" i="4"/>
  <c r="I107" i="4"/>
  <c r="I108" i="4"/>
  <c r="I109" i="4"/>
  <c r="I110" i="4"/>
  <c r="I111" i="4"/>
  <c r="I106" i="4"/>
  <c r="O111" i="4"/>
  <c r="M111" i="4"/>
  <c r="K111" i="4"/>
  <c r="J111" i="4"/>
  <c r="S110" i="4"/>
  <c r="O110" i="4"/>
  <c r="M110" i="4"/>
  <c r="K110" i="4"/>
  <c r="J110" i="4"/>
  <c r="O109" i="4"/>
  <c r="M109" i="4"/>
  <c r="K109" i="4"/>
  <c r="J109" i="4"/>
  <c r="S108" i="4"/>
  <c r="O108" i="4"/>
  <c r="M108" i="4"/>
  <c r="K108" i="4"/>
  <c r="J108" i="4"/>
  <c r="O107" i="4"/>
  <c r="M107" i="4"/>
  <c r="K107" i="4"/>
  <c r="J107" i="4"/>
  <c r="S111" i="4"/>
  <c r="O106" i="4"/>
  <c r="M106" i="4"/>
  <c r="K106" i="4"/>
  <c r="J106" i="4"/>
  <c r="Q88" i="4"/>
  <c r="Q87" i="4"/>
  <c r="N88" i="4"/>
  <c r="N87" i="4"/>
  <c r="Q95" i="4"/>
  <c r="Q94" i="4"/>
  <c r="N95" i="4"/>
  <c r="N94" i="4"/>
  <c r="Q104" i="4"/>
  <c r="Q103" i="4"/>
  <c r="N104" i="4"/>
  <c r="N103" i="4"/>
  <c r="N97" i="4"/>
  <c r="N96" i="4"/>
  <c r="N90" i="4"/>
  <c r="N89" i="4"/>
  <c r="Q102" i="4"/>
  <c r="Q101" i="4"/>
  <c r="N102" i="4"/>
  <c r="N101" i="4"/>
  <c r="Q100" i="4"/>
  <c r="N100" i="4"/>
  <c r="Q99" i="4"/>
  <c r="R99" i="4"/>
  <c r="P104" i="4"/>
  <c r="P103" i="4"/>
  <c r="P102" i="4"/>
  <c r="P101" i="4"/>
  <c r="P100" i="4"/>
  <c r="P99" i="4"/>
  <c r="J100" i="4"/>
  <c r="J101" i="4"/>
  <c r="J102" i="4"/>
  <c r="J103" i="4"/>
  <c r="J104" i="4"/>
  <c r="J99" i="4"/>
  <c r="O104" i="4"/>
  <c r="M104" i="4"/>
  <c r="K104" i="4"/>
  <c r="I104" i="4"/>
  <c r="O103" i="4"/>
  <c r="M103" i="4"/>
  <c r="K103" i="4"/>
  <c r="I103" i="4"/>
  <c r="O102" i="4"/>
  <c r="M102" i="4"/>
  <c r="K102" i="4"/>
  <c r="I102" i="4"/>
  <c r="O101" i="4"/>
  <c r="M101" i="4"/>
  <c r="K101" i="4"/>
  <c r="I101" i="4"/>
  <c r="O100" i="4"/>
  <c r="M100" i="4"/>
  <c r="K100" i="4"/>
  <c r="I100" i="4"/>
  <c r="R100" i="4"/>
  <c r="O99" i="4"/>
  <c r="M99" i="4"/>
  <c r="K99" i="4"/>
  <c r="I99" i="4"/>
  <c r="J92" i="4"/>
  <c r="J93" i="4"/>
  <c r="J94" i="4"/>
  <c r="J95" i="4"/>
  <c r="J96" i="4"/>
  <c r="J97" i="4"/>
  <c r="Q97" i="4"/>
  <c r="P97" i="4"/>
  <c r="O97" i="4"/>
  <c r="M97" i="4"/>
  <c r="K97" i="4"/>
  <c r="I97" i="4"/>
  <c r="Q96" i="4"/>
  <c r="P96" i="4"/>
  <c r="O96" i="4"/>
  <c r="M96" i="4"/>
  <c r="K96" i="4"/>
  <c r="I96" i="4"/>
  <c r="P95" i="4"/>
  <c r="O95" i="4"/>
  <c r="M95" i="4"/>
  <c r="K95" i="4"/>
  <c r="I95" i="4"/>
  <c r="P94" i="4"/>
  <c r="O94" i="4"/>
  <c r="M94" i="4"/>
  <c r="K94" i="4"/>
  <c r="I94" i="4"/>
  <c r="Q93" i="4"/>
  <c r="P93" i="4"/>
  <c r="O93" i="4"/>
  <c r="N93" i="4"/>
  <c r="M93" i="4"/>
  <c r="K93" i="4"/>
  <c r="I93" i="4"/>
  <c r="R92" i="4"/>
  <c r="Q92" i="4"/>
  <c r="P92" i="4"/>
  <c r="O92" i="4"/>
  <c r="M92" i="4"/>
  <c r="K92" i="4"/>
  <c r="I92" i="4"/>
  <c r="Q90" i="4"/>
  <c r="Q89" i="4"/>
  <c r="P90" i="4"/>
  <c r="P89" i="4"/>
  <c r="M90" i="4"/>
  <c r="M89" i="4"/>
  <c r="O90" i="4"/>
  <c r="O89" i="4"/>
  <c r="P88" i="4"/>
  <c r="P87" i="4"/>
  <c r="M88" i="4"/>
  <c r="M87" i="4"/>
  <c r="Q86" i="4"/>
  <c r="P86" i="4"/>
  <c r="N86" i="4"/>
  <c r="M86" i="4"/>
  <c r="P85" i="4"/>
  <c r="R101" i="4" l="1"/>
  <c r="R102" i="4" s="1"/>
  <c r="R103" i="4" s="1"/>
  <c r="R104" i="4" s="1"/>
  <c r="S121" i="4"/>
  <c r="S125" i="4"/>
  <c r="S122" i="4"/>
  <c r="S114" i="4"/>
  <c r="S118" i="4"/>
  <c r="S107" i="4"/>
  <c r="S109" i="4"/>
  <c r="R93" i="4"/>
  <c r="R94" i="4" s="1"/>
  <c r="R95" i="4" s="1"/>
  <c r="R96" i="4" s="1"/>
  <c r="R97" i="4" s="1"/>
  <c r="S100" i="4"/>
  <c r="S101" i="4"/>
  <c r="S102" i="4"/>
  <c r="S103" i="4"/>
  <c r="S104" i="4"/>
  <c r="S97" i="4"/>
  <c r="S93" i="4"/>
  <c r="S95" i="4"/>
  <c r="S94" i="4"/>
  <c r="S96" i="4"/>
  <c r="Q85" i="4"/>
  <c r="R85" i="4"/>
  <c r="I86" i="4"/>
  <c r="I87" i="4"/>
  <c r="I88" i="4"/>
  <c r="I89" i="4"/>
  <c r="I90" i="4"/>
  <c r="I85" i="4"/>
  <c r="K90" i="4"/>
  <c r="J90" i="4"/>
  <c r="K89" i="4"/>
  <c r="J89" i="4"/>
  <c r="O88" i="4"/>
  <c r="K88" i="4"/>
  <c r="J88" i="4"/>
  <c r="O87" i="4"/>
  <c r="K87" i="4"/>
  <c r="J87" i="4"/>
  <c r="O86" i="4"/>
  <c r="K86" i="4"/>
  <c r="J86" i="4"/>
  <c r="O85" i="4"/>
  <c r="M85" i="4"/>
  <c r="K85" i="4"/>
  <c r="J85" i="4"/>
  <c r="D3" i="4"/>
  <c r="R72" i="4"/>
  <c r="R59" i="4"/>
  <c r="R46" i="4"/>
  <c r="I73" i="4"/>
  <c r="I74" i="4"/>
  <c r="I75" i="4"/>
  <c r="I76" i="4"/>
  <c r="I77" i="4"/>
  <c r="I78" i="4"/>
  <c r="I79" i="4"/>
  <c r="I80" i="4"/>
  <c r="I81" i="4"/>
  <c r="I82" i="4"/>
  <c r="I83" i="4"/>
  <c r="I72" i="4"/>
  <c r="I60" i="4"/>
  <c r="I61" i="4"/>
  <c r="I62" i="4"/>
  <c r="I63" i="4"/>
  <c r="I64" i="4"/>
  <c r="I65" i="4"/>
  <c r="I66" i="4"/>
  <c r="I67" i="4"/>
  <c r="I68" i="4"/>
  <c r="I69" i="4"/>
  <c r="I70" i="4"/>
  <c r="I59" i="4"/>
  <c r="I47" i="4"/>
  <c r="I48" i="4"/>
  <c r="I49" i="4"/>
  <c r="I50" i="4"/>
  <c r="I51" i="4"/>
  <c r="I52" i="4"/>
  <c r="I53" i="4"/>
  <c r="I54" i="4"/>
  <c r="I55" i="4"/>
  <c r="I56" i="4"/>
  <c r="I57" i="4"/>
  <c r="I46" i="4"/>
  <c r="Q83" i="4"/>
  <c r="P83" i="4"/>
  <c r="O83" i="4"/>
  <c r="N83" i="4"/>
  <c r="M83" i="4"/>
  <c r="K83" i="4"/>
  <c r="J83" i="4"/>
  <c r="Q82" i="4"/>
  <c r="P82" i="4"/>
  <c r="O82" i="4"/>
  <c r="N82" i="4"/>
  <c r="M82" i="4"/>
  <c r="K82" i="4"/>
  <c r="J82" i="4"/>
  <c r="Q81" i="4"/>
  <c r="P81" i="4"/>
  <c r="O81" i="4"/>
  <c r="N81" i="4"/>
  <c r="M81" i="4"/>
  <c r="K81" i="4"/>
  <c r="J81" i="4"/>
  <c r="Q80" i="4"/>
  <c r="P80" i="4"/>
  <c r="O80" i="4"/>
  <c r="N80" i="4"/>
  <c r="M80" i="4"/>
  <c r="K80" i="4"/>
  <c r="J80" i="4"/>
  <c r="Q79" i="4"/>
  <c r="P79" i="4"/>
  <c r="O79" i="4"/>
  <c r="N79" i="4"/>
  <c r="M79" i="4"/>
  <c r="K79" i="4"/>
  <c r="J79" i="4"/>
  <c r="Q78" i="4"/>
  <c r="P78" i="4"/>
  <c r="O78" i="4"/>
  <c r="N78" i="4"/>
  <c r="M78" i="4"/>
  <c r="K78" i="4"/>
  <c r="J78" i="4"/>
  <c r="Q77" i="4"/>
  <c r="P77" i="4"/>
  <c r="O77" i="4"/>
  <c r="N77" i="4"/>
  <c r="M77" i="4"/>
  <c r="K77" i="4"/>
  <c r="J77" i="4"/>
  <c r="Q76" i="4"/>
  <c r="P76" i="4"/>
  <c r="O76" i="4"/>
  <c r="N76" i="4"/>
  <c r="M76" i="4"/>
  <c r="K76" i="4"/>
  <c r="J76" i="4"/>
  <c r="Q75" i="4"/>
  <c r="P75" i="4"/>
  <c r="O75" i="4"/>
  <c r="N75" i="4"/>
  <c r="M75" i="4"/>
  <c r="K75" i="4"/>
  <c r="J75" i="4"/>
  <c r="Q74" i="4"/>
  <c r="P74" i="4"/>
  <c r="O74" i="4"/>
  <c r="N74" i="4"/>
  <c r="M74" i="4"/>
  <c r="K74" i="4"/>
  <c r="J74" i="4"/>
  <c r="Q73" i="4"/>
  <c r="P73" i="4"/>
  <c r="O73" i="4"/>
  <c r="N73" i="4"/>
  <c r="M73" i="4"/>
  <c r="K73" i="4"/>
  <c r="J73" i="4"/>
  <c r="Q72" i="4"/>
  <c r="P72" i="4"/>
  <c r="O72" i="4"/>
  <c r="M72" i="4"/>
  <c r="K72" i="4"/>
  <c r="J72" i="4"/>
  <c r="Q70" i="4"/>
  <c r="P70" i="4"/>
  <c r="O70" i="4"/>
  <c r="N70" i="4"/>
  <c r="M70" i="4"/>
  <c r="K70" i="4"/>
  <c r="J70" i="4"/>
  <c r="Q69" i="4"/>
  <c r="P69" i="4"/>
  <c r="O69" i="4"/>
  <c r="N69" i="4"/>
  <c r="M69" i="4"/>
  <c r="K69" i="4"/>
  <c r="J69" i="4"/>
  <c r="Q68" i="4"/>
  <c r="P68" i="4"/>
  <c r="O68" i="4"/>
  <c r="N68" i="4"/>
  <c r="M68" i="4"/>
  <c r="K68" i="4"/>
  <c r="J68" i="4"/>
  <c r="Q67" i="4"/>
  <c r="P67" i="4"/>
  <c r="O67" i="4"/>
  <c r="N67" i="4"/>
  <c r="M67" i="4"/>
  <c r="K67" i="4"/>
  <c r="J67" i="4"/>
  <c r="Q66" i="4"/>
  <c r="P66" i="4"/>
  <c r="O66" i="4"/>
  <c r="N66" i="4"/>
  <c r="M66" i="4"/>
  <c r="K66" i="4"/>
  <c r="J66" i="4"/>
  <c r="Q65" i="4"/>
  <c r="P65" i="4"/>
  <c r="O65" i="4"/>
  <c r="N65" i="4"/>
  <c r="M65" i="4"/>
  <c r="K65" i="4"/>
  <c r="J65" i="4"/>
  <c r="Q64" i="4"/>
  <c r="P64" i="4"/>
  <c r="O64" i="4"/>
  <c r="N64" i="4"/>
  <c r="M64" i="4"/>
  <c r="K64" i="4"/>
  <c r="J64" i="4"/>
  <c r="Q63" i="4"/>
  <c r="P63" i="4"/>
  <c r="O63" i="4"/>
  <c r="N63" i="4"/>
  <c r="M63" i="4"/>
  <c r="K63" i="4"/>
  <c r="J63" i="4"/>
  <c r="Q62" i="4"/>
  <c r="P62" i="4"/>
  <c r="O62" i="4"/>
  <c r="N62" i="4"/>
  <c r="M62" i="4"/>
  <c r="K62" i="4"/>
  <c r="J62" i="4"/>
  <c r="Q61" i="4"/>
  <c r="P61" i="4"/>
  <c r="O61" i="4"/>
  <c r="N61" i="4"/>
  <c r="M61" i="4"/>
  <c r="K61" i="4"/>
  <c r="J61" i="4"/>
  <c r="Q60" i="4"/>
  <c r="P60" i="4"/>
  <c r="O60" i="4"/>
  <c r="N60" i="4"/>
  <c r="M60" i="4"/>
  <c r="K60" i="4"/>
  <c r="J60" i="4"/>
  <c r="Q59" i="4"/>
  <c r="P59" i="4"/>
  <c r="O59" i="4"/>
  <c r="M59" i="4"/>
  <c r="K59" i="4"/>
  <c r="J59" i="4"/>
  <c r="Q57" i="4"/>
  <c r="P57" i="4"/>
  <c r="O57" i="4"/>
  <c r="N57" i="4"/>
  <c r="M57" i="4"/>
  <c r="K57" i="4"/>
  <c r="J57" i="4"/>
  <c r="Q56" i="4"/>
  <c r="P56" i="4"/>
  <c r="O56" i="4"/>
  <c r="N56" i="4"/>
  <c r="M56" i="4"/>
  <c r="K56" i="4"/>
  <c r="J56" i="4"/>
  <c r="Q55" i="4"/>
  <c r="P55" i="4"/>
  <c r="O55" i="4"/>
  <c r="N55" i="4"/>
  <c r="M55" i="4"/>
  <c r="K55" i="4"/>
  <c r="J55" i="4"/>
  <c r="Q54" i="4"/>
  <c r="P54" i="4"/>
  <c r="O54" i="4"/>
  <c r="N54" i="4"/>
  <c r="M54" i="4"/>
  <c r="K54" i="4"/>
  <c r="J54" i="4"/>
  <c r="Q53" i="4"/>
  <c r="P53" i="4"/>
  <c r="O53" i="4"/>
  <c r="N53" i="4"/>
  <c r="M53" i="4"/>
  <c r="K53" i="4"/>
  <c r="J53" i="4"/>
  <c r="Q52" i="4"/>
  <c r="P52" i="4"/>
  <c r="O52" i="4"/>
  <c r="N52" i="4"/>
  <c r="M52" i="4"/>
  <c r="K52" i="4"/>
  <c r="J52" i="4"/>
  <c r="Q51" i="4"/>
  <c r="P51" i="4"/>
  <c r="O51" i="4"/>
  <c r="N51" i="4"/>
  <c r="M51" i="4"/>
  <c r="K51" i="4"/>
  <c r="J51" i="4"/>
  <c r="Q50" i="4"/>
  <c r="P50" i="4"/>
  <c r="O50" i="4"/>
  <c r="N50" i="4"/>
  <c r="M50" i="4"/>
  <c r="K50" i="4"/>
  <c r="J50" i="4"/>
  <c r="Q49" i="4"/>
  <c r="P49" i="4"/>
  <c r="O49" i="4"/>
  <c r="N49" i="4"/>
  <c r="M49" i="4"/>
  <c r="K49" i="4"/>
  <c r="J49" i="4"/>
  <c r="Q48" i="4"/>
  <c r="P48" i="4"/>
  <c r="O48" i="4"/>
  <c r="N48" i="4"/>
  <c r="M48" i="4"/>
  <c r="K48" i="4"/>
  <c r="J48" i="4"/>
  <c r="Q47" i="4"/>
  <c r="P47" i="4"/>
  <c r="O47" i="4"/>
  <c r="N47" i="4"/>
  <c r="M47" i="4"/>
  <c r="K47" i="4"/>
  <c r="J47" i="4"/>
  <c r="Q46" i="4"/>
  <c r="P46" i="4"/>
  <c r="O46" i="4"/>
  <c r="M46" i="4"/>
  <c r="K46" i="4"/>
  <c r="J46" i="4"/>
  <c r="N17" i="4"/>
  <c r="N18" i="4"/>
  <c r="N30" i="4"/>
  <c r="N31" i="4"/>
  <c r="Q44" i="4"/>
  <c r="Q43" i="4"/>
  <c r="N43" i="4"/>
  <c r="N44" i="4"/>
  <c r="Q42" i="4"/>
  <c r="Q41" i="4"/>
  <c r="N42" i="4"/>
  <c r="N41" i="4"/>
  <c r="Q40" i="4"/>
  <c r="Q39" i="4"/>
  <c r="N40" i="4"/>
  <c r="N39" i="4"/>
  <c r="Q38" i="4"/>
  <c r="Q37" i="4"/>
  <c r="N38" i="4"/>
  <c r="N37" i="4"/>
  <c r="Q36" i="4"/>
  <c r="N36" i="4"/>
  <c r="Q35" i="4"/>
  <c r="N35" i="4"/>
  <c r="N34" i="4"/>
  <c r="Q34" i="4"/>
  <c r="P44" i="4"/>
  <c r="P43" i="4"/>
  <c r="P42" i="4"/>
  <c r="P41" i="4"/>
  <c r="P40" i="4"/>
  <c r="P39" i="4"/>
  <c r="P38" i="4"/>
  <c r="P37" i="4"/>
  <c r="P36" i="4"/>
  <c r="P35" i="4"/>
  <c r="P34" i="4"/>
  <c r="R33" i="4"/>
  <c r="Q33" i="4"/>
  <c r="P33" i="4"/>
  <c r="J34" i="4"/>
  <c r="J35" i="4"/>
  <c r="J36" i="4"/>
  <c r="J37" i="4"/>
  <c r="J38" i="4"/>
  <c r="J39" i="4"/>
  <c r="J40" i="4"/>
  <c r="J41" i="4"/>
  <c r="J42" i="4"/>
  <c r="J43" i="4"/>
  <c r="J44" i="4"/>
  <c r="J33" i="4"/>
  <c r="O44" i="4"/>
  <c r="M44" i="4"/>
  <c r="K44" i="4"/>
  <c r="I44" i="4"/>
  <c r="O43" i="4"/>
  <c r="M43" i="4"/>
  <c r="K43" i="4"/>
  <c r="I43" i="4"/>
  <c r="O42" i="4"/>
  <c r="M42" i="4"/>
  <c r="K42" i="4"/>
  <c r="I42" i="4"/>
  <c r="O41" i="4"/>
  <c r="M41" i="4"/>
  <c r="K41" i="4"/>
  <c r="I41" i="4"/>
  <c r="S40" i="4"/>
  <c r="O40" i="4"/>
  <c r="M40" i="4"/>
  <c r="K40" i="4"/>
  <c r="I40" i="4"/>
  <c r="O39" i="4"/>
  <c r="M39" i="4"/>
  <c r="K39" i="4"/>
  <c r="I39" i="4"/>
  <c r="O38" i="4"/>
  <c r="M38" i="4"/>
  <c r="K38" i="4"/>
  <c r="I38" i="4"/>
  <c r="O37" i="4"/>
  <c r="M37" i="4"/>
  <c r="K37" i="4"/>
  <c r="I37" i="4"/>
  <c r="O36" i="4"/>
  <c r="M36" i="4"/>
  <c r="K36" i="4"/>
  <c r="I36" i="4"/>
  <c r="O35" i="4"/>
  <c r="M35" i="4"/>
  <c r="K35" i="4"/>
  <c r="I35" i="4"/>
  <c r="O34" i="4"/>
  <c r="M34" i="4"/>
  <c r="K34" i="4"/>
  <c r="I34" i="4"/>
  <c r="O33" i="4"/>
  <c r="M33" i="4"/>
  <c r="K33" i="4"/>
  <c r="I33" i="4"/>
  <c r="J21" i="4"/>
  <c r="J22" i="4"/>
  <c r="J23" i="4"/>
  <c r="J24" i="4"/>
  <c r="J25" i="4"/>
  <c r="J26" i="4"/>
  <c r="J27" i="4"/>
  <c r="J28" i="4"/>
  <c r="J29" i="4"/>
  <c r="J30" i="4"/>
  <c r="J31" i="4"/>
  <c r="J20" i="4"/>
  <c r="Q31" i="4"/>
  <c r="P31" i="4"/>
  <c r="O31" i="4"/>
  <c r="M31" i="4"/>
  <c r="K31" i="4"/>
  <c r="I31" i="4"/>
  <c r="Q30" i="4"/>
  <c r="P30" i="4"/>
  <c r="O30" i="4"/>
  <c r="M30" i="4"/>
  <c r="K30" i="4"/>
  <c r="I30" i="4"/>
  <c r="Q29" i="4"/>
  <c r="P29" i="4"/>
  <c r="O29" i="4"/>
  <c r="N29" i="4"/>
  <c r="M29" i="4"/>
  <c r="K29" i="4"/>
  <c r="I29" i="4"/>
  <c r="Q28" i="4"/>
  <c r="P28" i="4"/>
  <c r="O28" i="4"/>
  <c r="N28" i="4"/>
  <c r="M28" i="4"/>
  <c r="K28" i="4"/>
  <c r="I28" i="4"/>
  <c r="Q27" i="4"/>
  <c r="P27" i="4"/>
  <c r="O27" i="4"/>
  <c r="N27" i="4"/>
  <c r="M27" i="4"/>
  <c r="K27" i="4"/>
  <c r="I27" i="4"/>
  <c r="Q26" i="4"/>
  <c r="P26" i="4"/>
  <c r="O26" i="4"/>
  <c r="N26" i="4"/>
  <c r="M26" i="4"/>
  <c r="K26" i="4"/>
  <c r="I26" i="4"/>
  <c r="Q25" i="4"/>
  <c r="P25" i="4"/>
  <c r="O25" i="4"/>
  <c r="N25" i="4"/>
  <c r="M25" i="4"/>
  <c r="K25" i="4"/>
  <c r="I25" i="4"/>
  <c r="Q24" i="4"/>
  <c r="P24" i="4"/>
  <c r="O24" i="4"/>
  <c r="N24" i="4"/>
  <c r="M24" i="4"/>
  <c r="K24" i="4"/>
  <c r="I24" i="4"/>
  <c r="Q23" i="4"/>
  <c r="P23" i="4"/>
  <c r="O23" i="4"/>
  <c r="N23" i="4"/>
  <c r="M23" i="4"/>
  <c r="K23" i="4"/>
  <c r="I23" i="4"/>
  <c r="Q22" i="4"/>
  <c r="P22" i="4"/>
  <c r="O22" i="4"/>
  <c r="N22" i="4"/>
  <c r="M22" i="4"/>
  <c r="K22" i="4"/>
  <c r="I22" i="4"/>
  <c r="Q21" i="4"/>
  <c r="P21" i="4"/>
  <c r="O21" i="4"/>
  <c r="N21" i="4"/>
  <c r="M21" i="4"/>
  <c r="K21" i="4"/>
  <c r="I21" i="4"/>
  <c r="R20" i="4"/>
  <c r="Q20" i="4"/>
  <c r="P20" i="4"/>
  <c r="O20" i="4"/>
  <c r="M20" i="4"/>
  <c r="K20" i="4"/>
  <c r="I20" i="4"/>
  <c r="Q18" i="4"/>
  <c r="Q17" i="4"/>
  <c r="Q16" i="4"/>
  <c r="Q15" i="4"/>
  <c r="N16" i="4"/>
  <c r="N15" i="4"/>
  <c r="Q14" i="4"/>
  <c r="Q13" i="4"/>
  <c r="Q12" i="4"/>
  <c r="Q11" i="4"/>
  <c r="P18" i="4"/>
  <c r="P17" i="4"/>
  <c r="P16" i="4"/>
  <c r="P15" i="4"/>
  <c r="O18" i="4"/>
  <c r="O17" i="4"/>
  <c r="O16" i="4"/>
  <c r="O15" i="4"/>
  <c r="S68" i="4" l="1"/>
  <c r="S38" i="4"/>
  <c r="R47" i="4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S30" i="4"/>
  <c r="R60" i="4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3" i="4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S42" i="4"/>
  <c r="R34" i="4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S43" i="4"/>
  <c r="S63" i="4"/>
  <c r="S67" i="4"/>
  <c r="S36" i="4"/>
  <c r="S44" i="4"/>
  <c r="S34" i="4"/>
  <c r="S61" i="4"/>
  <c r="R86" i="4"/>
  <c r="R87" i="4" s="1"/>
  <c r="R88" i="4" s="1"/>
  <c r="R89" i="4" s="1"/>
  <c r="R90" i="4" s="1"/>
  <c r="S31" i="4"/>
  <c r="R21" i="4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S49" i="4"/>
  <c r="S53" i="4"/>
  <c r="S57" i="4"/>
  <c r="S70" i="4"/>
  <c r="S75" i="4"/>
  <c r="S79" i="4"/>
  <c r="S83" i="4"/>
  <c r="S21" i="4"/>
  <c r="S25" i="4"/>
  <c r="S29" i="4"/>
  <c r="S23" i="4"/>
  <c r="S27" i="4"/>
  <c r="S65" i="4"/>
  <c r="S69" i="4"/>
  <c r="S54" i="4"/>
  <c r="S47" i="4"/>
  <c r="S51" i="4"/>
  <c r="S55" i="4"/>
  <c r="S80" i="4"/>
  <c r="S73" i="4"/>
  <c r="S77" i="4"/>
  <c r="S81" i="4"/>
  <c r="S86" i="4"/>
  <c r="S88" i="4"/>
  <c r="S90" i="4"/>
  <c r="S87" i="4"/>
  <c r="S89" i="4"/>
  <c r="S74" i="4"/>
  <c r="S78" i="4"/>
  <c r="S82" i="4"/>
  <c r="S76" i="4"/>
  <c r="S60" i="4"/>
  <c r="S62" i="4"/>
  <c r="S64" i="4"/>
  <c r="S66" i="4"/>
  <c r="S52" i="4"/>
  <c r="S56" i="4"/>
  <c r="S48" i="4"/>
  <c r="S50" i="4"/>
  <c r="S35" i="4"/>
  <c r="S37" i="4"/>
  <c r="S39" i="4"/>
  <c r="S41" i="4"/>
  <c r="S26" i="4"/>
  <c r="S28" i="4"/>
  <c r="S22" i="4"/>
  <c r="S24" i="4"/>
  <c r="I16" i="4"/>
  <c r="J16" i="4"/>
  <c r="K16" i="4"/>
  <c r="M16" i="4"/>
  <c r="I17" i="4"/>
  <c r="J17" i="4"/>
  <c r="K17" i="4"/>
  <c r="M17" i="4"/>
  <c r="I18" i="4"/>
  <c r="J18" i="4"/>
  <c r="K18" i="4"/>
  <c r="M18" i="4"/>
  <c r="I15" i="4"/>
  <c r="J15" i="4"/>
  <c r="K15" i="4"/>
  <c r="M15" i="4"/>
  <c r="P14" i="4"/>
  <c r="I13" i="4"/>
  <c r="J13" i="4"/>
  <c r="K13" i="4"/>
  <c r="M13" i="4"/>
  <c r="I14" i="4"/>
  <c r="J14" i="4"/>
  <c r="K14" i="4"/>
  <c r="M14" i="4"/>
  <c r="P12" i="4"/>
  <c r="P13" i="4"/>
  <c r="P11" i="4"/>
  <c r="O13" i="4"/>
  <c r="O14" i="4"/>
  <c r="O12" i="4"/>
  <c r="O11" i="4"/>
  <c r="N14" i="4"/>
  <c r="N13" i="4"/>
  <c r="N12" i="4"/>
  <c r="N11" i="4"/>
  <c r="N10" i="4"/>
  <c r="N9" i="4"/>
  <c r="N8" i="4"/>
  <c r="M8" i="4"/>
  <c r="M12" i="4"/>
  <c r="M11" i="4"/>
  <c r="Q10" i="4"/>
  <c r="Q8" i="4"/>
  <c r="Q9" i="4"/>
  <c r="P8" i="4"/>
  <c r="P9" i="4"/>
  <c r="P10" i="4"/>
  <c r="O8" i="4"/>
  <c r="O9" i="4"/>
  <c r="O10" i="4"/>
  <c r="O7" i="4"/>
  <c r="M10" i="4"/>
  <c r="M9" i="4"/>
  <c r="M7" i="4"/>
  <c r="K8" i="4"/>
  <c r="K9" i="4"/>
  <c r="K10" i="4"/>
  <c r="K11" i="4"/>
  <c r="K12" i="4"/>
  <c r="I8" i="4"/>
  <c r="J8" i="4"/>
  <c r="I9" i="4"/>
  <c r="J9" i="4"/>
  <c r="I10" i="4"/>
  <c r="J10" i="4"/>
  <c r="I11" i="4"/>
  <c r="J11" i="4"/>
  <c r="I12" i="4"/>
  <c r="J12" i="4"/>
  <c r="J7" i="4"/>
  <c r="I7" i="4"/>
  <c r="R7" i="4"/>
  <c r="Q7" i="4"/>
  <c r="S15" i="4" s="1"/>
  <c r="K7" i="4"/>
  <c r="P7" i="4"/>
  <c r="S12" i="4" l="1"/>
  <c r="S18" i="4"/>
  <c r="S11" i="4"/>
  <c r="S13" i="4"/>
  <c r="S16" i="4"/>
  <c r="S17" i="4"/>
  <c r="S14" i="4"/>
  <c r="S8" i="4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S9" i="4"/>
  <c r="S10" i="4"/>
</calcChain>
</file>

<file path=xl/sharedStrings.xml><?xml version="1.0" encoding="utf-8"?>
<sst xmlns="http://schemas.openxmlformats.org/spreadsheetml/2006/main" count="592" uniqueCount="145">
  <si>
    <t>Dataset</t>
  </si>
  <si>
    <t>TEST ID</t>
  </si>
  <si>
    <t>Model</t>
  </si>
  <si>
    <t>Classifier In/out</t>
  </si>
  <si>
    <t>Classifier Parameter</t>
  </si>
  <si>
    <t>Classifier</t>
  </si>
  <si>
    <t>Total Parameter</t>
  </si>
  <si>
    <t>Input shape</t>
  </si>
  <si>
    <t>Classifier ranks</t>
  </si>
  <si>
    <t>NaN</t>
  </si>
  <si>
    <t>Transfter</t>
  </si>
  <si>
    <t>Freeze</t>
  </si>
  <si>
    <t>30 Epoch</t>
  </si>
  <si>
    <t>5 Epoch</t>
  </si>
  <si>
    <t>Optimizer</t>
  </si>
  <si>
    <t>Adam</t>
  </si>
  <si>
    <t>Optimizer Info</t>
  </si>
  <si>
    <t>Default</t>
  </si>
  <si>
    <t>BASE LINE</t>
  </si>
  <si>
    <t>Reshaped</t>
  </si>
  <si>
    <t>Saving Memory- Classifier</t>
  </si>
  <si>
    <t>Classes</t>
  </si>
  <si>
    <t>STATUS</t>
  </si>
  <si>
    <t>Done</t>
  </si>
  <si>
    <t>Pending</t>
  </si>
  <si>
    <t>Won't Do</t>
  </si>
  <si>
    <t>Status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</si>
  <si>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</si>
  <si>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</si>
  <si>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</si>
  <si>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</si>
  <si>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</si>
  <si>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</si>
  <si>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</si>
  <si>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</si>
  <si>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</si>
  <si>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</si>
  <si>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</si>
  <si>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</si>
  <si>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</si>
  <si>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</si>
  <si>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</si>
  <si>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</si>
  <si>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</si>
  <si>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</si>
  <si>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</si>
  <si>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</si>
  <si>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</si>
  <si>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</si>
  <si>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</si>
  <si>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</si>
  <si>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</si>
  <si>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</si>
  <si>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</si>
  <si>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</si>
  <si>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</si>
  <si>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</si>
  <si>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</si>
  <si>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</si>
  <si>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</si>
  <si>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</si>
  <si>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</si>
  <si>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</si>
  <si>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</si>
  <si>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</si>
  <si>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</si>
  <si>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</si>
  <si>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</si>
  <si>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</si>
  <si>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</si>
  <si>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</si>
  <si>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</si>
  <si>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</si>
  <si>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</si>
  <si>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</si>
  <si>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</si>
  <si>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</si>
  <si>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</si>
  <si>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</si>
  <si>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</si>
  <si>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</si>
  <si>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</si>
  <si>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</si>
  <si>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</si>
  <si>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</si>
  <si>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</si>
  <si>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</si>
  <si>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</si>
  <si>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</si>
  <si>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</si>
  <si>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</si>
  <si>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</si>
  <si>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</si>
  <si>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</si>
  <si>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</si>
  <si>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</si>
  <si>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</si>
  <si>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</si>
  <si>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</si>
  <si>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</si>
  <si>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</si>
  <si>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</si>
  <si>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</si>
  <si>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</si>
  <si>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</si>
  <si>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</si>
  <si>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</si>
  <si>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</si>
  <si>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</si>
  <si>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</si>
  <si>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</si>
  <si>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</si>
  <si>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</si>
  <si>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</si>
  <si>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</si>
  <si>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</si>
  <si>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</si>
  <si>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</si>
  <si>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</si>
  <si>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</si>
  <si>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</si>
  <si>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</si>
  <si>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</si>
  <si>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</si>
  <si>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</si>
  <si>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</si>
  <si>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Count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</si>
  <si>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</si>
  <si>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</si>
  <si>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</si>
  <si>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</si>
  <si>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</si>
  <si>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</si>
  <si>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</si>
  <si>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</si>
  <si>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</si>
  <si>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</si>
  <si>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</si>
  <si>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</si>
  <si>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</si>
  <si>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</si>
  <si>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</si>
  <si>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0 Epoch</t>
  </si>
  <si>
    <t>100 Epoch</t>
  </si>
  <si>
    <t>40 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</si>
</sst>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49" fontId="2" fillId="6" borderId="7" xfId="0" applyNumberFormat="1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34"/>
  <sheetViews>
    <sheetView tabSelected="1" zoomScale="60" zoomScaleNormal="60" workbookViewId="0">
      <selection activeCell="D7" sqref="D7"/>
    </sheetView>
  </sheetViews>
  <sheetFormatPr defaultRowHeight="21" x14ac:dyDescent="0.35"/>
  <cols>
    <col min="1" max="1" width="9.140625" style="2"/>
    <col min="2" max="2" width="9.28515625" style="2" customWidth="1"/>
    <col min="3" max="3" width="18.140625" style="2" customWidth="1"/>
    <col min="4" max="4" width="21.140625" style="2" customWidth="1"/>
    <col min="5" max="6" width="9.140625" style="2"/>
    <col min="7" max="7" width="16.85546875" style="2" customWidth="1"/>
    <col min="8" max="8" width="31.28515625" style="6" customWidth="1"/>
    <col min="9" max="12" width="18.42578125" style="2" customWidth="1"/>
    <col min="13" max="13" width="45.5703125" style="2" customWidth="1"/>
    <col min="14" max="14" width="65.140625" style="2" customWidth="1"/>
    <col min="15" max="15" width="26.42578125" style="2" customWidth="1"/>
    <col min="16" max="16" width="129" style="2" customWidth="1"/>
    <col min="17" max="17" width="27.42578125" style="10" customWidth="1"/>
    <col min="18" max="18" width="28.140625" style="10" customWidth="1"/>
    <col min="19" max="19" width="36.42578125" style="2" customWidth="1"/>
    <col min="20" max="21" width="18.28515625" style="2" customWidth="1"/>
    <col min="22" max="22" width="18.140625" style="2" customWidth="1"/>
    <col min="23" max="23" width="18" style="2" customWidth="1"/>
    <col min="24" max="16384" width="9.140625" style="2"/>
  </cols>
  <sheetData>
    <row r="1" spans="2:23" ht="21.75" thickBot="1" x14ac:dyDescent="0.4"/>
    <row r="2" spans="2:23" ht="22.5" thickTop="1" thickBot="1" x14ac:dyDescent="0.4">
      <c r="C2" s="14" t="s">
        <v>26</v>
      </c>
      <c r="D2" s="14" t="s">
        <v>126</v>
      </c>
    </row>
    <row r="3" spans="2:23" ht="22.5" thickTop="1" thickBot="1" x14ac:dyDescent="0.4">
      <c r="B3" s="13"/>
      <c r="C3" s="14" t="s">
        <v>23</v>
      </c>
      <c r="D3" s="14">
        <f>0</f>
        <v>0</v>
      </c>
    </row>
    <row r="4" spans="2:23" ht="22.5" thickTop="1" thickBot="1" x14ac:dyDescent="0.4">
      <c r="B4" s="12"/>
      <c r="C4" s="14" t="s">
        <v>24</v>
      </c>
      <c r="D4" s="14">
        <f>40</f>
        <v>40</v>
      </c>
    </row>
    <row r="5" spans="2:23" ht="22.5" thickTop="1" thickBot="1" x14ac:dyDescent="0.4">
      <c r="B5" s="11"/>
      <c r="C5" s="14" t="s">
        <v>25</v>
      </c>
      <c r="D5" s="14">
        <f>68</f>
        <v>68</v>
      </c>
    </row>
    <row r="6" spans="2:23" s="1" customFormat="1" ht="43.5" thickTop="1" thickBot="1" x14ac:dyDescent="0.4">
      <c r="G6" s="4" t="s">
        <v>22</v>
      </c>
      <c r="H6" s="4" t="s">
        <v>1</v>
      </c>
      <c r="I6" s="3" t="s">
        <v>2</v>
      </c>
      <c r="J6" s="3" t="s">
        <v>0</v>
      </c>
      <c r="K6" s="3" t="s">
        <v>7</v>
      </c>
      <c r="L6" s="3" t="s">
        <v>21</v>
      </c>
      <c r="M6" s="3" t="s">
        <v>5</v>
      </c>
      <c r="N6" s="3" t="s">
        <v>8</v>
      </c>
      <c r="O6" s="3" t="s">
        <v>19</v>
      </c>
      <c r="P6" s="3" t="s">
        <v>3</v>
      </c>
      <c r="Q6" s="9" t="s">
        <v>4</v>
      </c>
      <c r="R6" s="9" t="s">
        <v>6</v>
      </c>
      <c r="S6" s="3" t="s">
        <v>20</v>
      </c>
      <c r="T6" s="3" t="s">
        <v>10</v>
      </c>
      <c r="U6" s="3" t="s">
        <v>11</v>
      </c>
      <c r="V6" s="3" t="s">
        <v>14</v>
      </c>
      <c r="W6" s="3" t="s">
        <v>16</v>
      </c>
    </row>
    <row r="7" spans="2:23" ht="22.5" thickTop="1" thickBot="1" x14ac:dyDescent="0.4">
      <c r="F7" s="15"/>
      <c r="G7" s="19">
        <v>1</v>
      </c>
      <c r="H7" s="5" t="s">
        <v>27</v>
      </c>
      <c r="I7" s="2" t="str">
        <f t="shared" ref="I7:I18" si="0" xml:space="preserve"> "Resnet50"</f>
        <v>Resnet50</v>
      </c>
      <c r="J7" s="2" t="str">
        <f t="shared" ref="J7:J18" si="1" xml:space="preserve"> "MNIST"</f>
        <v>MNIST</v>
      </c>
      <c r="K7" s="2" t="str">
        <f t="shared" ref="K7:K18" si="2" xml:space="preserve"> "(3,192,192)"</f>
        <v>(3,192,192)</v>
      </c>
      <c r="L7" s="2">
        <v>10</v>
      </c>
      <c r="M7" s="2" t="str">
        <f xml:space="preserve"> "Linear"</f>
        <v>Linear</v>
      </c>
      <c r="N7" s="2" t="s">
        <v>9</v>
      </c>
      <c r="O7" s="2" t="b">
        <f xml:space="preserve"> FALSE</f>
        <v>0</v>
      </c>
      <c r="P7" s="2" t="str">
        <f>"(2048,6,6) --&gt; (10)"</f>
        <v>(2048,6,6) --&gt; (10)</v>
      </c>
      <c r="Q7" s="10">
        <f xml:space="preserve"> 737290</f>
        <v>737290</v>
      </c>
      <c r="R7" s="10">
        <f xml:space="preserve"> 24245322</f>
        <v>24245322</v>
      </c>
      <c r="S7" s="2" t="s">
        <v>18</v>
      </c>
      <c r="T7" s="2" t="s">
        <v>13</v>
      </c>
      <c r="U7" s="2" t="s">
        <v>12</v>
      </c>
      <c r="V7" s="2" t="s">
        <v>15</v>
      </c>
      <c r="W7" s="2" t="s">
        <v>17</v>
      </c>
    </row>
    <row r="8" spans="2:23" ht="22.5" thickTop="1" thickBot="1" x14ac:dyDescent="0.4">
      <c r="F8" s="15"/>
      <c r="G8" s="21">
        <v>1</v>
      </c>
      <c r="H8" s="5" t="s">
        <v>28</v>
      </c>
      <c r="I8" s="2" t="str">
        <f t="shared" si="0"/>
        <v>Resnet50</v>
      </c>
      <c r="J8" s="2" t="str">
        <f t="shared" si="1"/>
        <v>MNIST</v>
      </c>
      <c r="K8" s="2" t="str">
        <f t="shared" si="2"/>
        <v>(3,192,192)</v>
      </c>
      <c r="L8" s="2">
        <v>10</v>
      </c>
      <c r="M8" s="2" t="str">
        <f xml:space="preserve"> "TRL"</f>
        <v>TRL</v>
      </c>
      <c r="N8" s="2" t="str">
        <f>"trl:: (200,3,3,8)"</f>
        <v>trl:: (200,3,3,8)</v>
      </c>
      <c r="O8" s="2" t="b">
        <f xml:space="preserve"> FALSE</f>
        <v>0</v>
      </c>
      <c r="P8" s="2" t="str">
        <f>"(2048,6,6) --&gt; (10)"</f>
        <v>(2048,6,6) --&gt; (10)</v>
      </c>
      <c r="Q8" s="10">
        <f>424116</f>
        <v>424116</v>
      </c>
      <c r="R8" s="10">
        <f t="shared" ref="R8:R18" si="3" xml:space="preserve"> R7 - Q7 + Q8</f>
        <v>23932148</v>
      </c>
      <c r="S8" s="2">
        <f xml:space="preserve"> (1-(Q8/Q7))*100</f>
        <v>42.476366151717784</v>
      </c>
      <c r="T8" s="2" t="s">
        <v>13</v>
      </c>
      <c r="U8" s="2" t="s">
        <v>12</v>
      </c>
      <c r="V8" s="2" t="s">
        <v>15</v>
      </c>
      <c r="W8" s="2" t="s">
        <v>17</v>
      </c>
    </row>
    <row r="9" spans="2:23" ht="22.5" thickTop="1" thickBot="1" x14ac:dyDescent="0.4">
      <c r="F9" s="15"/>
      <c r="G9" s="20">
        <v>1</v>
      </c>
      <c r="H9" s="5" t="s">
        <v>29</v>
      </c>
      <c r="I9" s="2" t="str">
        <f t="shared" si="0"/>
        <v>Resnet50</v>
      </c>
      <c r="J9" s="2" t="str">
        <f t="shared" si="1"/>
        <v>MNIST</v>
      </c>
      <c r="K9" s="2" t="str">
        <f t="shared" si="2"/>
        <v>(3,192,192)</v>
      </c>
      <c r="L9" s="2">
        <v>10</v>
      </c>
      <c r="M9" s="2" t="str">
        <f xml:space="preserve"> "TRL"</f>
        <v>TRL</v>
      </c>
      <c r="N9" s="2" t="str">
        <f>"trl:: (100,3,3,10)"</f>
        <v>trl:: (100,3,3,10)</v>
      </c>
      <c r="O9" s="2" t="b">
        <f xml:space="preserve"> FALSE</f>
        <v>0</v>
      </c>
      <c r="P9" s="2" t="str">
        <f>"(2048,6,6) --&gt; (10)"</f>
        <v>(2048,6,6) --&gt; (10)</v>
      </c>
      <c r="Q9" s="10">
        <f>213936</f>
        <v>213936</v>
      </c>
      <c r="R9" s="10">
        <f t="shared" si="3"/>
        <v>23721968</v>
      </c>
      <c r="S9" s="2">
        <f xml:space="preserve"> (1-(Q9/Q7))*100</f>
        <v>70.983466478590501</v>
      </c>
      <c r="T9" s="2" t="s">
        <v>13</v>
      </c>
      <c r="U9" s="2" t="s">
        <v>12</v>
      </c>
      <c r="V9" s="2" t="s">
        <v>15</v>
      </c>
      <c r="W9" s="2" t="s">
        <v>17</v>
      </c>
    </row>
    <row r="10" spans="2:23" ht="22.5" thickTop="1" thickBot="1" x14ac:dyDescent="0.4">
      <c r="F10" s="15"/>
      <c r="G10" s="20">
        <v>1</v>
      </c>
      <c r="H10" s="5" t="s">
        <v>30</v>
      </c>
      <c r="I10" s="2" t="str">
        <f t="shared" si="0"/>
        <v>Resnet50</v>
      </c>
      <c r="J10" s="2" t="str">
        <f t="shared" si="1"/>
        <v>MNIST</v>
      </c>
      <c r="K10" s="2" t="str">
        <f t="shared" si="2"/>
        <v>(3,192,192)</v>
      </c>
      <c r="L10" s="2">
        <v>10</v>
      </c>
      <c r="M10" s="2" t="str">
        <f xml:space="preserve"> "TRL"</f>
        <v>TRL</v>
      </c>
      <c r="N10" s="2" t="str">
        <f>"trl:: (50,3,3,3)"</f>
        <v>trl:: (50,3,3,3)</v>
      </c>
      <c r="O10" s="2" t="b">
        <f xml:space="preserve"> FALSE</f>
        <v>0</v>
      </c>
      <c r="P10" s="2" t="str">
        <f>"(2048,6,6) --&gt; (10)"</f>
        <v>(2048,6,6) --&gt; (10)</v>
      </c>
      <c r="Q10" s="10">
        <f>103816</f>
        <v>103816</v>
      </c>
      <c r="R10" s="10">
        <f t="shared" si="3"/>
        <v>23611848</v>
      </c>
      <c r="S10" s="2">
        <f xml:space="preserve"> (1-(Q10/Q7))*100</f>
        <v>85.919244801909699</v>
      </c>
      <c r="T10" s="2" t="s">
        <v>13</v>
      </c>
      <c r="U10" s="2" t="s">
        <v>12</v>
      </c>
      <c r="V10" s="2" t="s">
        <v>15</v>
      </c>
      <c r="W10" s="2" t="s">
        <v>17</v>
      </c>
    </row>
    <row r="11" spans="2:23" ht="22.5" thickTop="1" thickBot="1" x14ac:dyDescent="0.4">
      <c r="F11" s="15"/>
      <c r="G11" s="20">
        <v>1</v>
      </c>
      <c r="H11" s="5" t="s">
        <v>31</v>
      </c>
      <c r="I11" s="2" t="str">
        <f t="shared" si="0"/>
        <v>Resnet50</v>
      </c>
      <c r="J11" s="2" t="str">
        <f t="shared" si="1"/>
        <v>MNIST</v>
      </c>
      <c r="K11" s="2" t="str">
        <f t="shared" si="2"/>
        <v>(3,192,192)</v>
      </c>
      <c r="L11" s="2">
        <v>10</v>
      </c>
      <c r="M11" s="2" t="str">
        <f t="shared" ref="M11:M18" si="4">"Reshape+TRL"</f>
        <v>Reshape+TRL</v>
      </c>
      <c r="N11" s="2" t="str">
        <f>"trl:: (1,1,1,100,1,1,10)"</f>
        <v>trl:: (1,1,1,100,1,1,10)</v>
      </c>
      <c r="O11" s="2" t="str">
        <f xml:space="preserve"> "(2,2,2)-type1"</f>
        <v>(2,2,2)-type1</v>
      </c>
      <c r="P11" s="2" t="str">
        <f>"(2048,6,6) --&gt; (2,2,2,1024,3,3) --&gt; (10)"</f>
        <v>(2048,6,6) --&gt; (2,2,2,1024,3,3) --&gt; (10)</v>
      </c>
      <c r="Q11" s="10">
        <f>103512</f>
        <v>103512</v>
      </c>
      <c r="R11" s="10">
        <f t="shared" si="3"/>
        <v>23611544</v>
      </c>
      <c r="S11" s="2">
        <f xml:space="preserve"> (1-(Q11/Q7))*100</f>
        <v>85.960476881552722</v>
      </c>
      <c r="T11" s="2" t="s">
        <v>13</v>
      </c>
      <c r="U11" s="2" t="s">
        <v>12</v>
      </c>
      <c r="V11" s="2" t="s">
        <v>15</v>
      </c>
      <c r="W11" s="2" t="s">
        <v>17</v>
      </c>
    </row>
    <row r="12" spans="2:23" ht="22.5" thickTop="1" thickBot="1" x14ac:dyDescent="0.4">
      <c r="F12" s="15"/>
      <c r="G12" s="20">
        <v>1</v>
      </c>
      <c r="H12" s="5" t="s">
        <v>32</v>
      </c>
      <c r="I12" s="2" t="str">
        <f t="shared" si="0"/>
        <v>Resnet50</v>
      </c>
      <c r="J12" s="2" t="str">
        <f t="shared" si="1"/>
        <v>MNIST</v>
      </c>
      <c r="K12" s="2" t="str">
        <f t="shared" si="2"/>
        <v>(3,192,192)</v>
      </c>
      <c r="L12" s="2">
        <v>10</v>
      </c>
      <c r="M12" s="2" t="str">
        <f t="shared" si="4"/>
        <v>Reshape+TRL</v>
      </c>
      <c r="N12" s="2" t="str">
        <f>"trl:: (1,1,1,100,1,1,10)"</f>
        <v>trl:: (1,1,1,100,1,1,10)</v>
      </c>
      <c r="O12" s="2" t="str">
        <f xml:space="preserve"> "(2,2,2)-type2"</f>
        <v>(2,2,2)-type2</v>
      </c>
      <c r="P12" s="2" t="str">
        <f>"(2048,6,6) --&gt; (2,2,2,1024,3,3) --&gt; (10)"</f>
        <v>(2048,6,6) --&gt; (2,2,2,1024,3,3) --&gt; (10)</v>
      </c>
      <c r="Q12" s="10">
        <f>103512</f>
        <v>103512</v>
      </c>
      <c r="R12" s="10">
        <f t="shared" si="3"/>
        <v>23611544</v>
      </c>
      <c r="S12" s="2">
        <f xml:space="preserve"> (1-(Q12/Q7))*100</f>
        <v>85.960476881552722</v>
      </c>
      <c r="T12" s="2" t="s">
        <v>13</v>
      </c>
      <c r="U12" s="2" t="s">
        <v>12</v>
      </c>
      <c r="V12" s="2" t="s">
        <v>15</v>
      </c>
      <c r="W12" s="2" t="s">
        <v>17</v>
      </c>
    </row>
    <row r="13" spans="2:23" ht="22.5" thickTop="1" thickBot="1" x14ac:dyDescent="0.4">
      <c r="F13" s="15"/>
      <c r="G13" s="20">
        <v>1</v>
      </c>
      <c r="H13" s="5" t="s">
        <v>33</v>
      </c>
      <c r="I13" s="2" t="str">
        <f t="shared" si="0"/>
        <v>Resnet50</v>
      </c>
      <c r="J13" s="2" t="str">
        <f t="shared" si="1"/>
        <v>MNIST</v>
      </c>
      <c r="K13" s="2" t="str">
        <f t="shared" si="2"/>
        <v>(3,192,192)</v>
      </c>
      <c r="L13" s="2">
        <v>10</v>
      </c>
      <c r="M13" s="2" t="str">
        <f t="shared" si="4"/>
        <v>Reshape+TRL</v>
      </c>
      <c r="N13" s="2" t="str">
        <f>"trl:: (1,1,1,20,1,1,4)"</f>
        <v>trl:: (1,1,1,20,1,1,4)</v>
      </c>
      <c r="O13" s="2" t="str">
        <f xml:space="preserve"> "(2,2,2)-type1"</f>
        <v>(2,2,2)-type1</v>
      </c>
      <c r="P13" s="2" t="str">
        <f>"(2048,6,6) --&gt; (2,2,2,1024,3,3) --&gt; (10)"</f>
        <v>(2048,6,6) --&gt; (2,2,2,1024,3,3) --&gt; (10)</v>
      </c>
      <c r="Q13" s="10">
        <f>20612</f>
        <v>20612</v>
      </c>
      <c r="R13" s="10">
        <f t="shared" si="3"/>
        <v>23528644</v>
      </c>
      <c r="S13" s="2">
        <f xml:space="preserve"> (1-(Q13/Q7))*100</f>
        <v>97.204356494730703</v>
      </c>
      <c r="T13" s="2" t="s">
        <v>13</v>
      </c>
      <c r="U13" s="2" t="s">
        <v>12</v>
      </c>
      <c r="V13" s="2" t="s">
        <v>15</v>
      </c>
      <c r="W13" s="2" t="s">
        <v>17</v>
      </c>
    </row>
    <row r="14" spans="2:23" ht="21.75" customHeight="1" thickTop="1" thickBot="1" x14ac:dyDescent="0.4">
      <c r="F14" s="15"/>
      <c r="G14" s="20">
        <v>1</v>
      </c>
      <c r="H14" s="5" t="s">
        <v>34</v>
      </c>
      <c r="I14" s="2" t="str">
        <f t="shared" si="0"/>
        <v>Resnet50</v>
      </c>
      <c r="J14" s="2" t="str">
        <f t="shared" si="1"/>
        <v>MNIST</v>
      </c>
      <c r="K14" s="2" t="str">
        <f t="shared" si="2"/>
        <v>(3,192,192)</v>
      </c>
      <c r="L14" s="2">
        <v>10</v>
      </c>
      <c r="M14" s="2" t="str">
        <f t="shared" si="4"/>
        <v>Reshape+TRL</v>
      </c>
      <c r="N14" s="2" t="str">
        <f>"trl:: (1,1,1,20,1,1,4)"</f>
        <v>trl:: (1,1,1,20,1,1,4)</v>
      </c>
      <c r="O14" s="2" t="str">
        <f xml:space="preserve"> "(2,2,2)-type2"</f>
        <v>(2,2,2)-type2</v>
      </c>
      <c r="P14" s="2" t="str">
        <f>"(2048,6,6) --&gt; (2,2,2,1024,3,3) --&gt; (10)"</f>
        <v>(2048,6,6) --&gt; (2,2,2,1024,3,3) --&gt; (10)</v>
      </c>
      <c r="Q14" s="10">
        <f>20612</f>
        <v>20612</v>
      </c>
      <c r="R14" s="10">
        <f t="shared" si="3"/>
        <v>23528644</v>
      </c>
      <c r="S14" s="2">
        <f xml:space="preserve"> (1-(Q14/Q7))*100</f>
        <v>97.204356494730703</v>
      </c>
      <c r="T14" s="2" t="s">
        <v>13</v>
      </c>
      <c r="U14" s="2" t="s">
        <v>12</v>
      </c>
      <c r="V14" s="2" t="s">
        <v>15</v>
      </c>
      <c r="W14" s="2" t="s">
        <v>17</v>
      </c>
    </row>
    <row r="15" spans="2:23" ht="22.5" thickTop="1" thickBot="1" x14ac:dyDescent="0.4">
      <c r="F15" s="15"/>
      <c r="G15" s="21">
        <v>1</v>
      </c>
      <c r="H15" s="5" t="s">
        <v>35</v>
      </c>
      <c r="I15" s="2" t="str">
        <f t="shared" si="0"/>
        <v>Resnet50</v>
      </c>
      <c r="J15" s="2" t="str">
        <f t="shared" si="1"/>
        <v>MNIST</v>
      </c>
      <c r="K15" s="2" t="str">
        <f t="shared" si="2"/>
        <v>(3,192,192)</v>
      </c>
      <c r="L15" s="2">
        <v>10</v>
      </c>
      <c r="M15" s="2" t="str">
        <f t="shared" si="4"/>
        <v>Reshape+TRL</v>
      </c>
      <c r="N15" s="2" t="str">
        <f>"trl:: (4,1,1,20,1,1,10)"</f>
        <v>trl:: (4,1,1,20,1,1,10)</v>
      </c>
      <c r="O15" s="2" t="str">
        <f xml:space="preserve"> "(16,2,2)-type1"</f>
        <v>(16,2,2)-type1</v>
      </c>
      <c r="P15" s="2" t="str">
        <f>"(2048,6,6) --&gt; (16,2,2,128,3,3) --&gt; (10)"</f>
        <v>(2048,6,6) --&gt; (16,2,2,128,3,3) --&gt; (10)</v>
      </c>
      <c r="Q15" s="10">
        <f>3534</f>
        <v>3534</v>
      </c>
      <c r="R15" s="10">
        <f t="shared" si="3"/>
        <v>23511566</v>
      </c>
      <c r="S15" s="2">
        <f xml:space="preserve"> (1-(Q15/Q7))*100</f>
        <v>99.52067707414993</v>
      </c>
      <c r="T15" s="2" t="s">
        <v>13</v>
      </c>
      <c r="U15" s="2" t="s">
        <v>12</v>
      </c>
      <c r="V15" s="2" t="s">
        <v>15</v>
      </c>
      <c r="W15" s="2" t="s">
        <v>17</v>
      </c>
    </row>
    <row r="16" spans="2:23" ht="22.5" thickTop="1" thickBot="1" x14ac:dyDescent="0.4">
      <c r="F16" s="15"/>
      <c r="G16" s="21">
        <v>1</v>
      </c>
      <c r="H16" s="5" t="s">
        <v>36</v>
      </c>
      <c r="I16" s="2" t="str">
        <f t="shared" si="0"/>
        <v>Resnet50</v>
      </c>
      <c r="J16" s="2" t="str">
        <f t="shared" si="1"/>
        <v>MNIST</v>
      </c>
      <c r="K16" s="2" t="str">
        <f t="shared" si="2"/>
        <v>(3,192,192)</v>
      </c>
      <c r="L16" s="2">
        <v>10</v>
      </c>
      <c r="M16" s="2" t="str">
        <f t="shared" si="4"/>
        <v>Reshape+TRL</v>
      </c>
      <c r="N16" s="2" t="str">
        <f>"trl:: (4,1,1,20,1,1,10)"</f>
        <v>trl:: (4,1,1,20,1,1,10)</v>
      </c>
      <c r="O16" s="2" t="str">
        <f xml:space="preserve"> "(16,2,2)-type2"</f>
        <v>(16,2,2)-type2</v>
      </c>
      <c r="P16" s="2" t="str">
        <f>"(2048,6,6) --&gt; (16,2,2,128,3,3) --&gt; (10)"</f>
        <v>(2048,6,6) --&gt; (16,2,2,128,3,3) --&gt; (10)</v>
      </c>
      <c r="Q16" s="10">
        <f>3534</f>
        <v>3534</v>
      </c>
      <c r="R16" s="10">
        <f t="shared" si="3"/>
        <v>23511566</v>
      </c>
      <c r="S16" s="2">
        <f xml:space="preserve"> (1-(Q16/Q7))*100</f>
        <v>99.52067707414993</v>
      </c>
      <c r="T16" s="2" t="s">
        <v>13</v>
      </c>
      <c r="U16" s="2" t="s">
        <v>12</v>
      </c>
      <c r="V16" s="2" t="s">
        <v>15</v>
      </c>
      <c r="W16" s="2" t="s">
        <v>17</v>
      </c>
    </row>
    <row r="17" spans="6:23" ht="22.5" thickTop="1" thickBot="1" x14ac:dyDescent="0.4">
      <c r="F17" s="15"/>
      <c r="G17" s="21">
        <v>1</v>
      </c>
      <c r="H17" s="5" t="s">
        <v>37</v>
      </c>
      <c r="I17" s="2" t="str">
        <f t="shared" si="0"/>
        <v>Resnet50</v>
      </c>
      <c r="J17" s="2" t="str">
        <f t="shared" si="1"/>
        <v>MNIST</v>
      </c>
      <c r="K17" s="2" t="str">
        <f t="shared" si="2"/>
        <v>(3,192,192)</v>
      </c>
      <c r="L17" s="2">
        <v>10</v>
      </c>
      <c r="M17" s="2" t="str">
        <f t="shared" si="4"/>
        <v>Reshape+TRL</v>
      </c>
      <c r="N17" s="2" t="str">
        <f>"trl:: (4,1,1,10,1,1,4)"</f>
        <v>trl:: (4,1,1,10,1,1,4)</v>
      </c>
      <c r="O17" s="2" t="str">
        <f xml:space="preserve"> "(16,2,2)-type1"</f>
        <v>(16,2,2)-type1</v>
      </c>
      <c r="P17" s="2" t="str">
        <f>"(2048,6,6) --&gt; (16,2,2,128,3,3) --&gt; (10)"</f>
        <v>(2048,6,6) --&gt; (16,2,2,128,3,3) --&gt; (10)</v>
      </c>
      <c r="Q17" s="10">
        <f>1386</f>
        <v>1386</v>
      </c>
      <c r="R17" s="10">
        <f t="shared" si="3"/>
        <v>23509418</v>
      </c>
      <c r="S17" s="2">
        <f xml:space="preserve"> (1-(Q17/Q7))*100</f>
        <v>99.812014268469667</v>
      </c>
      <c r="T17" s="2" t="s">
        <v>13</v>
      </c>
      <c r="U17" s="2" t="s">
        <v>12</v>
      </c>
      <c r="V17" s="2" t="s">
        <v>15</v>
      </c>
      <c r="W17" s="2" t="s">
        <v>17</v>
      </c>
    </row>
    <row r="18" spans="6:23" ht="22.5" thickTop="1" thickBot="1" x14ac:dyDescent="0.4">
      <c r="F18" s="15"/>
      <c r="G18" s="21">
        <v>1</v>
      </c>
      <c r="H18" s="5" t="s">
        <v>38</v>
      </c>
      <c r="I18" s="2" t="str">
        <f t="shared" si="0"/>
        <v>Resnet50</v>
      </c>
      <c r="J18" s="2" t="str">
        <f t="shared" si="1"/>
        <v>MNIST</v>
      </c>
      <c r="K18" s="2" t="str">
        <f t="shared" si="2"/>
        <v>(3,192,192)</v>
      </c>
      <c r="L18" s="2">
        <v>10</v>
      </c>
      <c r="M18" s="2" t="str">
        <f t="shared" si="4"/>
        <v>Reshape+TRL</v>
      </c>
      <c r="N18" s="2" t="str">
        <f>"trl:: (4,1,1,10,1,1,4)"</f>
        <v>trl:: (4,1,1,10,1,1,4)</v>
      </c>
      <c r="O18" s="2" t="str">
        <f xml:space="preserve"> "(16,2,2)-type2"</f>
        <v>(16,2,2)-type2</v>
      </c>
      <c r="P18" s="2" t="str">
        <f>"(2048,6,6) --&gt; (16,2,2,128,3,3) --&gt; (10)"</f>
        <v>(2048,6,6) --&gt; (16,2,2,128,3,3) --&gt; (10)</v>
      </c>
      <c r="Q18" s="10">
        <f>1386</f>
        <v>1386</v>
      </c>
      <c r="R18" s="10">
        <f t="shared" si="3"/>
        <v>23509418</v>
      </c>
      <c r="S18" s="2">
        <f xml:space="preserve"> (1-(Q18/Q7))*100</f>
        <v>99.812014268469667</v>
      </c>
      <c r="T18" s="2" t="s">
        <v>13</v>
      </c>
      <c r="U18" s="2" t="s">
        <v>12</v>
      </c>
      <c r="V18" s="2" t="s">
        <v>15</v>
      </c>
      <c r="W18" s="2" t="s">
        <v>17</v>
      </c>
    </row>
    <row r="19" spans="6:23" ht="22.5" thickTop="1" thickBot="1" x14ac:dyDescent="0.4">
      <c r="F19" s="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6:23" ht="22.5" thickTop="1" thickBot="1" x14ac:dyDescent="0.4">
      <c r="F20" s="15"/>
      <c r="G20" s="20">
        <v>1</v>
      </c>
      <c r="H20" s="5" t="s">
        <v>39</v>
      </c>
      <c r="I20" s="2" t="str">
        <f t="shared" ref="I20:I31" si="5" xml:space="preserve"> "Resnet50"</f>
        <v>Resnet50</v>
      </c>
      <c r="J20" s="2" t="str">
        <f t="shared" ref="J20:J31" si="6" xml:space="preserve"> "CIFAR10"</f>
        <v>CIFAR10</v>
      </c>
      <c r="K20" s="2" t="str">
        <f t="shared" ref="K20:K31" si="7" xml:space="preserve"> "(3,192,192)"</f>
        <v>(3,192,192)</v>
      </c>
      <c r="L20" s="2">
        <v>10</v>
      </c>
      <c r="M20" s="2" t="str">
        <f xml:space="preserve"> "Linear"</f>
        <v>Linear</v>
      </c>
      <c r="N20" s="2" t="s">
        <v>9</v>
      </c>
      <c r="O20" s="2" t="b">
        <f xml:space="preserve"> FALSE</f>
        <v>0</v>
      </c>
      <c r="P20" s="2" t="str">
        <f>"(2048,6,6) --&gt; (10)"</f>
        <v>(2048,6,6) --&gt; (10)</v>
      </c>
      <c r="Q20" s="10">
        <f xml:space="preserve"> 737290</f>
        <v>737290</v>
      </c>
      <c r="R20" s="10">
        <f xml:space="preserve"> 24245322</f>
        <v>24245322</v>
      </c>
      <c r="S20" s="2" t="s">
        <v>18</v>
      </c>
      <c r="T20" s="2" t="s">
        <v>13</v>
      </c>
      <c r="U20" s="2" t="s">
        <v>12</v>
      </c>
      <c r="V20" s="2" t="s">
        <v>15</v>
      </c>
      <c r="W20" s="2" t="s">
        <v>17</v>
      </c>
    </row>
    <row r="21" spans="6:23" ht="22.5" thickTop="1" thickBot="1" x14ac:dyDescent="0.4">
      <c r="F21" s="15"/>
      <c r="G21" s="21">
        <v>1</v>
      </c>
      <c r="H21" s="5" t="s">
        <v>40</v>
      </c>
      <c r="I21" s="2" t="str">
        <f t="shared" si="5"/>
        <v>Resnet50</v>
      </c>
      <c r="J21" s="2" t="str">
        <f t="shared" si="6"/>
        <v>CIFAR10</v>
      </c>
      <c r="K21" s="2" t="str">
        <f t="shared" si="7"/>
        <v>(3,192,192)</v>
      </c>
      <c r="L21" s="2">
        <v>10</v>
      </c>
      <c r="M21" s="2" t="str">
        <f xml:space="preserve"> "TRL"</f>
        <v>TRL</v>
      </c>
      <c r="N21" s="2" t="str">
        <f>"trl:: (200,3,3,8)"</f>
        <v>trl:: (200,3,3,8)</v>
      </c>
      <c r="O21" s="2" t="b">
        <f xml:space="preserve"> FALSE</f>
        <v>0</v>
      </c>
      <c r="P21" s="2" t="str">
        <f>"(2048,6,6) --&gt; (10)"</f>
        <v>(2048,6,6) --&gt; (10)</v>
      </c>
      <c r="Q21" s="10">
        <f>424116</f>
        <v>424116</v>
      </c>
      <c r="R21" s="10">
        <f t="shared" ref="R21:R31" si="8" xml:space="preserve"> R20 - Q20 + Q21</f>
        <v>23932148</v>
      </c>
      <c r="S21" s="2">
        <f xml:space="preserve"> (1-(Q21/Q20))*100</f>
        <v>42.476366151717784</v>
      </c>
      <c r="T21" s="2" t="s">
        <v>13</v>
      </c>
      <c r="U21" s="2" t="s">
        <v>12</v>
      </c>
      <c r="V21" s="2" t="s">
        <v>15</v>
      </c>
      <c r="W21" s="2" t="s">
        <v>17</v>
      </c>
    </row>
    <row r="22" spans="6:23" ht="22.5" thickTop="1" thickBot="1" x14ac:dyDescent="0.4">
      <c r="F22" s="15"/>
      <c r="G22" s="20">
        <v>1</v>
      </c>
      <c r="H22" s="5" t="s">
        <v>41</v>
      </c>
      <c r="I22" s="2" t="str">
        <f t="shared" si="5"/>
        <v>Resnet50</v>
      </c>
      <c r="J22" s="2" t="str">
        <f t="shared" si="6"/>
        <v>CIFAR10</v>
      </c>
      <c r="K22" s="2" t="str">
        <f t="shared" si="7"/>
        <v>(3,192,192)</v>
      </c>
      <c r="L22" s="2">
        <v>10</v>
      </c>
      <c r="M22" s="2" t="str">
        <f xml:space="preserve"> "TRL"</f>
        <v>TRL</v>
      </c>
      <c r="N22" s="2" t="str">
        <f>"trl:: (100,3,3,10)"</f>
        <v>trl:: (100,3,3,10)</v>
      </c>
      <c r="O22" s="2" t="b">
        <f xml:space="preserve"> FALSE</f>
        <v>0</v>
      </c>
      <c r="P22" s="2" t="str">
        <f>"(2048,6,6) --&gt; (10)"</f>
        <v>(2048,6,6) --&gt; (10)</v>
      </c>
      <c r="Q22" s="10">
        <f>213936</f>
        <v>213936</v>
      </c>
      <c r="R22" s="10">
        <f t="shared" si="8"/>
        <v>23721968</v>
      </c>
      <c r="S22" s="2">
        <f xml:space="preserve"> (1-(Q22/Q20))*100</f>
        <v>70.983466478590501</v>
      </c>
      <c r="T22" s="2" t="s">
        <v>13</v>
      </c>
      <c r="U22" s="2" t="s">
        <v>12</v>
      </c>
      <c r="V22" s="2" t="s">
        <v>15</v>
      </c>
      <c r="W22" s="2" t="s">
        <v>17</v>
      </c>
    </row>
    <row r="23" spans="6:23" ht="22.5" thickTop="1" thickBot="1" x14ac:dyDescent="0.4">
      <c r="F23" s="15"/>
      <c r="G23" s="20">
        <v>1</v>
      </c>
      <c r="H23" s="5" t="s">
        <v>42</v>
      </c>
      <c r="I23" s="2" t="str">
        <f t="shared" si="5"/>
        <v>Resnet50</v>
      </c>
      <c r="J23" s="2" t="str">
        <f t="shared" si="6"/>
        <v>CIFAR10</v>
      </c>
      <c r="K23" s="2" t="str">
        <f t="shared" si="7"/>
        <v>(3,192,192)</v>
      </c>
      <c r="L23" s="2">
        <v>10</v>
      </c>
      <c r="M23" s="2" t="str">
        <f xml:space="preserve"> "TRL"</f>
        <v>TRL</v>
      </c>
      <c r="N23" s="2" t="str">
        <f>"trl:: (50,3,3,3)"</f>
        <v>trl:: (50,3,3,3)</v>
      </c>
      <c r="O23" s="2" t="b">
        <f xml:space="preserve"> FALSE</f>
        <v>0</v>
      </c>
      <c r="P23" s="2" t="str">
        <f>"(2048,6,6) --&gt; (10)"</f>
        <v>(2048,6,6) --&gt; (10)</v>
      </c>
      <c r="Q23" s="10">
        <f>103816</f>
        <v>103816</v>
      </c>
      <c r="R23" s="10">
        <f t="shared" si="8"/>
        <v>23611848</v>
      </c>
      <c r="S23" s="2">
        <f xml:space="preserve"> (1-(Q23/Q20))*100</f>
        <v>85.919244801909699</v>
      </c>
      <c r="T23" s="2" t="s">
        <v>13</v>
      </c>
      <c r="U23" s="2" t="s">
        <v>12</v>
      </c>
      <c r="V23" s="2" t="s">
        <v>15</v>
      </c>
      <c r="W23" s="2" t="s">
        <v>17</v>
      </c>
    </row>
    <row r="24" spans="6:23" ht="22.5" thickTop="1" thickBot="1" x14ac:dyDescent="0.4">
      <c r="F24" s="15"/>
      <c r="G24" s="20">
        <v>1</v>
      </c>
      <c r="H24" s="5" t="s">
        <v>43</v>
      </c>
      <c r="I24" s="2" t="str">
        <f t="shared" si="5"/>
        <v>Resnet50</v>
      </c>
      <c r="J24" s="2" t="str">
        <f t="shared" si="6"/>
        <v>CIFAR10</v>
      </c>
      <c r="K24" s="2" t="str">
        <f t="shared" si="7"/>
        <v>(3,192,192)</v>
      </c>
      <c r="L24" s="2">
        <v>10</v>
      </c>
      <c r="M24" s="2" t="str">
        <f t="shared" ref="M24:M31" si="9">"Reshape+TRL"</f>
        <v>Reshape+TRL</v>
      </c>
      <c r="N24" s="2" t="str">
        <f>"trl:: (1,1,1,100,1,1,10)"</f>
        <v>trl:: (1,1,1,100,1,1,10)</v>
      </c>
      <c r="O24" s="2" t="str">
        <f xml:space="preserve"> "(2,2,2)-type1"</f>
        <v>(2,2,2)-type1</v>
      </c>
      <c r="P24" s="2" t="str">
        <f>"(2048,6,6) --&gt; (2,2,2,1024,3,3) --&gt; (10)"</f>
        <v>(2048,6,6) --&gt; (2,2,2,1024,3,3) --&gt; (10)</v>
      </c>
      <c r="Q24" s="10">
        <f>103512</f>
        <v>103512</v>
      </c>
      <c r="R24" s="10">
        <f t="shared" si="8"/>
        <v>23611544</v>
      </c>
      <c r="S24" s="2">
        <f xml:space="preserve"> (1-(Q24/Q20))*100</f>
        <v>85.960476881552722</v>
      </c>
      <c r="T24" s="2" t="s">
        <v>13</v>
      </c>
      <c r="U24" s="2" t="s">
        <v>12</v>
      </c>
      <c r="V24" s="2" t="s">
        <v>15</v>
      </c>
      <c r="W24" s="2" t="s">
        <v>17</v>
      </c>
    </row>
    <row r="25" spans="6:23" ht="22.5" thickTop="1" thickBot="1" x14ac:dyDescent="0.4">
      <c r="F25" s="15"/>
      <c r="G25" s="20">
        <v>1</v>
      </c>
      <c r="H25" s="5" t="s">
        <v>44</v>
      </c>
      <c r="I25" s="2" t="str">
        <f t="shared" si="5"/>
        <v>Resnet50</v>
      </c>
      <c r="J25" s="2" t="str">
        <f t="shared" si="6"/>
        <v>CIFAR10</v>
      </c>
      <c r="K25" s="2" t="str">
        <f t="shared" si="7"/>
        <v>(3,192,192)</v>
      </c>
      <c r="L25" s="2">
        <v>10</v>
      </c>
      <c r="M25" s="2" t="str">
        <f t="shared" si="9"/>
        <v>Reshape+TRL</v>
      </c>
      <c r="N25" s="2" t="str">
        <f>"trl:: (1,1,1,100,1,1,10)"</f>
        <v>trl:: (1,1,1,100,1,1,10)</v>
      </c>
      <c r="O25" s="2" t="str">
        <f xml:space="preserve"> "(2,2,2)-type2"</f>
        <v>(2,2,2)-type2</v>
      </c>
      <c r="P25" s="2" t="str">
        <f>"(2048,6,6) --&gt; (2,2,2,1024,3,3) --&gt; (10)"</f>
        <v>(2048,6,6) --&gt; (2,2,2,1024,3,3) --&gt; (10)</v>
      </c>
      <c r="Q25" s="10">
        <f>103512</f>
        <v>103512</v>
      </c>
      <c r="R25" s="10">
        <f t="shared" si="8"/>
        <v>23611544</v>
      </c>
      <c r="S25" s="2">
        <f xml:space="preserve"> (1-(Q25/Q20))*100</f>
        <v>85.960476881552722</v>
      </c>
      <c r="T25" s="2" t="s">
        <v>13</v>
      </c>
      <c r="U25" s="2" t="s">
        <v>12</v>
      </c>
      <c r="V25" s="2" t="s">
        <v>15</v>
      </c>
      <c r="W25" s="2" t="s">
        <v>17</v>
      </c>
    </row>
    <row r="26" spans="6:23" ht="22.5" thickTop="1" thickBot="1" x14ac:dyDescent="0.4">
      <c r="F26" s="15"/>
      <c r="G26" s="20">
        <v>1</v>
      </c>
      <c r="H26" s="5" t="s">
        <v>45</v>
      </c>
      <c r="I26" s="7" t="str">
        <f t="shared" si="5"/>
        <v>Resnet50</v>
      </c>
      <c r="J26" s="7" t="str">
        <f t="shared" si="6"/>
        <v>CIFAR10</v>
      </c>
      <c r="K26" s="7" t="str">
        <f t="shared" si="7"/>
        <v>(3,192,192)</v>
      </c>
      <c r="L26" s="7">
        <v>10</v>
      </c>
      <c r="M26" s="7" t="str">
        <f t="shared" si="9"/>
        <v>Reshape+TRL</v>
      </c>
      <c r="N26" s="7" t="str">
        <f>"trl:: (1,1,1,20,1,1,4)"</f>
        <v>trl:: (1,1,1,20,1,1,4)</v>
      </c>
      <c r="O26" s="7" t="str">
        <f xml:space="preserve"> "(2,2,2)-type1"</f>
        <v>(2,2,2)-type1</v>
      </c>
      <c r="P26" s="7" t="str">
        <f>"(2048,6,6) --&gt; (2,2,2,1024,3,3) --&gt; (10)"</f>
        <v>(2048,6,6) --&gt; (2,2,2,1024,3,3) --&gt; (10)</v>
      </c>
      <c r="Q26" s="22">
        <f>20612</f>
        <v>20612</v>
      </c>
      <c r="R26" s="22">
        <f t="shared" si="8"/>
        <v>23528644</v>
      </c>
      <c r="S26" s="7">
        <f xml:space="preserve"> (1-(Q26/Q20))*100</f>
        <v>97.204356494730703</v>
      </c>
      <c r="T26" s="7" t="s">
        <v>13</v>
      </c>
      <c r="U26" s="7" t="s">
        <v>12</v>
      </c>
      <c r="V26" s="7" t="s">
        <v>15</v>
      </c>
      <c r="W26" s="7" t="s">
        <v>17</v>
      </c>
    </row>
    <row r="27" spans="6:23" ht="22.5" thickTop="1" thickBot="1" x14ac:dyDescent="0.4">
      <c r="F27" s="15"/>
      <c r="G27" s="20">
        <v>1</v>
      </c>
      <c r="H27" s="5" t="s">
        <v>46</v>
      </c>
      <c r="I27" s="2" t="str">
        <f t="shared" si="5"/>
        <v>Resnet50</v>
      </c>
      <c r="J27" s="2" t="str">
        <f t="shared" si="6"/>
        <v>CIFAR10</v>
      </c>
      <c r="K27" s="2" t="str">
        <f t="shared" si="7"/>
        <v>(3,192,192)</v>
      </c>
      <c r="L27" s="2">
        <v>10</v>
      </c>
      <c r="M27" s="2" t="str">
        <f t="shared" si="9"/>
        <v>Reshape+TRL</v>
      </c>
      <c r="N27" s="2" t="str">
        <f>"trl:: (1,1,1,20,1,1,4)"</f>
        <v>trl:: (1,1,1,20,1,1,4)</v>
      </c>
      <c r="O27" s="2" t="str">
        <f xml:space="preserve"> "(2,2,2)-type2"</f>
        <v>(2,2,2)-type2</v>
      </c>
      <c r="P27" s="2" t="str">
        <f>"(2048,6,6) --&gt; (2,2,2,1024,3,3) --&gt; (10)"</f>
        <v>(2048,6,6) --&gt; (2,2,2,1024,3,3) --&gt; (10)</v>
      </c>
      <c r="Q27" s="10">
        <f>20612</f>
        <v>20612</v>
      </c>
      <c r="R27" s="10">
        <f t="shared" si="8"/>
        <v>23528644</v>
      </c>
      <c r="S27" s="2">
        <f xml:space="preserve"> (1-(Q27/Q20))*100</f>
        <v>97.204356494730703</v>
      </c>
      <c r="T27" s="2" t="s">
        <v>13</v>
      </c>
      <c r="U27" s="2" t="s">
        <v>12</v>
      </c>
      <c r="V27" s="2" t="s">
        <v>15</v>
      </c>
      <c r="W27" s="2" t="s">
        <v>17</v>
      </c>
    </row>
    <row r="28" spans="6:23" ht="22.5" thickTop="1" thickBot="1" x14ac:dyDescent="0.4">
      <c r="F28" s="15"/>
      <c r="G28" s="21">
        <v>1</v>
      </c>
      <c r="H28" s="5" t="s">
        <v>47</v>
      </c>
      <c r="I28" s="2" t="str">
        <f t="shared" si="5"/>
        <v>Resnet50</v>
      </c>
      <c r="J28" s="2" t="str">
        <f t="shared" si="6"/>
        <v>CIFAR10</v>
      </c>
      <c r="K28" s="2" t="str">
        <f t="shared" si="7"/>
        <v>(3,192,192)</v>
      </c>
      <c r="L28" s="2">
        <v>10</v>
      </c>
      <c r="M28" s="2" t="str">
        <f t="shared" si="9"/>
        <v>Reshape+TRL</v>
      </c>
      <c r="N28" s="2" t="str">
        <f>"trl:: (4,1,1,20,1,1,10)"</f>
        <v>trl:: (4,1,1,20,1,1,10)</v>
      </c>
      <c r="O28" s="2" t="str">
        <f xml:space="preserve"> "(16,2,2)-type1"</f>
        <v>(16,2,2)-type1</v>
      </c>
      <c r="P28" s="2" t="str">
        <f>"(2048,6,6) --&gt; (16,2,2,128,3,3) --&gt; (10)"</f>
        <v>(2048,6,6) --&gt; (16,2,2,128,3,3) --&gt; (10)</v>
      </c>
      <c r="Q28" s="10">
        <f>3534</f>
        <v>3534</v>
      </c>
      <c r="R28" s="10">
        <f t="shared" si="8"/>
        <v>23511566</v>
      </c>
      <c r="S28" s="2">
        <f xml:space="preserve"> (1-(Q28/Q20))*100</f>
        <v>99.52067707414993</v>
      </c>
      <c r="T28" s="2" t="s">
        <v>13</v>
      </c>
      <c r="U28" s="2" t="s">
        <v>12</v>
      </c>
      <c r="V28" s="2" t="s">
        <v>15</v>
      </c>
      <c r="W28" s="2" t="s">
        <v>17</v>
      </c>
    </row>
    <row r="29" spans="6:23" ht="22.5" thickTop="1" thickBot="1" x14ac:dyDescent="0.4">
      <c r="F29" s="15"/>
      <c r="G29" s="21">
        <v>1</v>
      </c>
      <c r="H29" s="5" t="s">
        <v>48</v>
      </c>
      <c r="I29" s="2" t="str">
        <f t="shared" si="5"/>
        <v>Resnet50</v>
      </c>
      <c r="J29" s="2" t="str">
        <f t="shared" si="6"/>
        <v>CIFAR10</v>
      </c>
      <c r="K29" s="2" t="str">
        <f t="shared" si="7"/>
        <v>(3,192,192)</v>
      </c>
      <c r="L29" s="2">
        <v>10</v>
      </c>
      <c r="M29" s="2" t="str">
        <f t="shared" si="9"/>
        <v>Reshape+TRL</v>
      </c>
      <c r="N29" s="2" t="str">
        <f>"trl:: (4,1,1,20,1,1,10)"</f>
        <v>trl:: (4,1,1,20,1,1,10)</v>
      </c>
      <c r="O29" s="2" t="str">
        <f xml:space="preserve"> "(16,2,2)-type2"</f>
        <v>(16,2,2)-type2</v>
      </c>
      <c r="P29" s="2" t="str">
        <f>"(2048,6,6) --&gt; (16,2,2,128,3,3) --&gt; (10)"</f>
        <v>(2048,6,6) --&gt; (16,2,2,128,3,3) --&gt; (10)</v>
      </c>
      <c r="Q29" s="10">
        <f>3534</f>
        <v>3534</v>
      </c>
      <c r="R29" s="10">
        <f t="shared" si="8"/>
        <v>23511566</v>
      </c>
      <c r="S29" s="2">
        <f xml:space="preserve"> (1-(Q29/Q20))*100</f>
        <v>99.52067707414993</v>
      </c>
      <c r="T29" s="2" t="s">
        <v>13</v>
      </c>
      <c r="U29" s="2" t="s">
        <v>12</v>
      </c>
      <c r="V29" s="2" t="s">
        <v>15</v>
      </c>
      <c r="W29" s="2" t="s">
        <v>17</v>
      </c>
    </row>
    <row r="30" spans="6:23" ht="22.5" thickTop="1" thickBot="1" x14ac:dyDescent="0.4">
      <c r="F30" s="15"/>
      <c r="G30" s="21">
        <v>1</v>
      </c>
      <c r="H30" s="5" t="s">
        <v>49</v>
      </c>
      <c r="I30" s="7" t="str">
        <f t="shared" si="5"/>
        <v>Resnet50</v>
      </c>
      <c r="J30" s="7" t="str">
        <f t="shared" si="6"/>
        <v>CIFAR10</v>
      </c>
      <c r="K30" s="7" t="str">
        <f t="shared" si="7"/>
        <v>(3,192,192)</v>
      </c>
      <c r="L30" s="7">
        <v>10</v>
      </c>
      <c r="M30" s="7" t="str">
        <f t="shared" si="9"/>
        <v>Reshape+TRL</v>
      </c>
      <c r="N30" s="7" t="str">
        <f>"trl:: (4,1,1,10,1,1,4)"</f>
        <v>trl:: (4,1,1,10,1,1,4)</v>
      </c>
      <c r="O30" s="7" t="str">
        <f xml:space="preserve"> "(16,2,2)-type1"</f>
        <v>(16,2,2)-type1</v>
      </c>
      <c r="P30" s="7" t="str">
        <f>"(2048,6,6) --&gt; (16,2,2,128,3,3) --&gt; (10)"</f>
        <v>(2048,6,6) --&gt; (16,2,2,128,3,3) --&gt; (10)</v>
      </c>
      <c r="Q30" s="22">
        <f>1386</f>
        <v>1386</v>
      </c>
      <c r="R30" s="22">
        <f t="shared" si="8"/>
        <v>23509418</v>
      </c>
      <c r="S30" s="7">
        <f xml:space="preserve"> (1-(Q30/Q20))*100</f>
        <v>99.812014268469667</v>
      </c>
      <c r="T30" s="7" t="s">
        <v>13</v>
      </c>
      <c r="U30" s="7" t="s">
        <v>12</v>
      </c>
      <c r="V30" s="7" t="s">
        <v>15</v>
      </c>
      <c r="W30" s="7" t="s">
        <v>17</v>
      </c>
    </row>
    <row r="31" spans="6:23" ht="22.5" thickTop="1" thickBot="1" x14ac:dyDescent="0.4">
      <c r="F31" s="15"/>
      <c r="G31" s="21">
        <v>1</v>
      </c>
      <c r="H31" s="5" t="s">
        <v>50</v>
      </c>
      <c r="I31" s="2" t="str">
        <f t="shared" si="5"/>
        <v>Resnet50</v>
      </c>
      <c r="J31" s="2" t="str">
        <f t="shared" si="6"/>
        <v>CIFAR10</v>
      </c>
      <c r="K31" s="2" t="str">
        <f t="shared" si="7"/>
        <v>(3,192,192)</v>
      </c>
      <c r="L31" s="2">
        <v>10</v>
      </c>
      <c r="M31" s="2" t="str">
        <f t="shared" si="9"/>
        <v>Reshape+TRL</v>
      </c>
      <c r="N31" s="2" t="str">
        <f>"trl:: (4,1,1,10,1,1,4)"</f>
        <v>trl:: (4,1,1,10,1,1,4)</v>
      </c>
      <c r="O31" s="2" t="str">
        <f xml:space="preserve"> "(16,2,2)-type2"</f>
        <v>(16,2,2)-type2</v>
      </c>
      <c r="P31" s="2" t="str">
        <f>"(2048,6,6) --&gt; (16,2,2,128,3,3) --&gt; (10)"</f>
        <v>(2048,6,6) --&gt; (16,2,2,128,3,3) --&gt; (10)</v>
      </c>
      <c r="Q31" s="10">
        <f>1386</f>
        <v>1386</v>
      </c>
      <c r="R31" s="10">
        <f t="shared" si="8"/>
        <v>23509418</v>
      </c>
      <c r="S31" s="2">
        <f xml:space="preserve"> (1-(Q31/Q20))*100</f>
        <v>99.812014268469667</v>
      </c>
      <c r="T31" s="2" t="s">
        <v>13</v>
      </c>
      <c r="U31" s="2" t="s">
        <v>12</v>
      </c>
      <c r="V31" s="2" t="s">
        <v>15</v>
      </c>
      <c r="W31" s="2" t="s">
        <v>17</v>
      </c>
    </row>
    <row r="32" spans="6:23" ht="22.5" thickTop="1" thickBot="1" x14ac:dyDescent="0.4">
      <c r="F32" s="7"/>
      <c r="G32" s="18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6:23" ht="22.5" thickTop="1" thickBot="1" x14ac:dyDescent="0.4">
      <c r="F33" s="15"/>
      <c r="G33" s="21">
        <v>1</v>
      </c>
      <c r="H33" s="5" t="s">
        <v>51</v>
      </c>
      <c r="I33" s="2" t="str">
        <f t="shared" ref="I33:I44" si="10" xml:space="preserve"> "Resnet50"</f>
        <v>Resnet50</v>
      </c>
      <c r="J33" s="2" t="str">
        <f t="shared" ref="J33:J44" si="11" xml:space="preserve"> "TINY"</f>
        <v>TINY</v>
      </c>
      <c r="K33" s="2" t="str">
        <f t="shared" ref="K33:K44" si="12" xml:space="preserve"> "(3,192,192)"</f>
        <v>(3,192,192)</v>
      </c>
      <c r="L33" s="2">
        <v>200</v>
      </c>
      <c r="M33" s="2" t="str">
        <f xml:space="preserve"> "Linear"</f>
        <v>Linear</v>
      </c>
      <c r="N33" s="2" t="s">
        <v>9</v>
      </c>
      <c r="O33" s="2" t="b">
        <f xml:space="preserve"> FALSE</f>
        <v>0</v>
      </c>
      <c r="P33" s="2" t="str">
        <f>"(2048,6,6) --&gt; (200)"</f>
        <v>(2048,6,6) --&gt; (200)</v>
      </c>
      <c r="Q33" s="10">
        <f>14745800</f>
        <v>14745800</v>
      </c>
      <c r="R33" s="10">
        <f>38253832</f>
        <v>38253832</v>
      </c>
      <c r="S33" s="2" t="s">
        <v>18</v>
      </c>
      <c r="T33" s="2" t="s">
        <v>13</v>
      </c>
      <c r="U33" s="2" t="s">
        <v>12</v>
      </c>
      <c r="V33" s="2" t="s">
        <v>15</v>
      </c>
      <c r="W33" s="2" t="s">
        <v>17</v>
      </c>
    </row>
    <row r="34" spans="6:23" ht="22.5" thickTop="1" thickBot="1" x14ac:dyDescent="0.4">
      <c r="F34" s="15"/>
      <c r="G34" s="21">
        <v>1</v>
      </c>
      <c r="H34" s="5" t="s">
        <v>52</v>
      </c>
      <c r="I34" s="2" t="str">
        <f t="shared" si="10"/>
        <v>Resnet50</v>
      </c>
      <c r="J34" s="2" t="str">
        <f t="shared" si="11"/>
        <v>TINY</v>
      </c>
      <c r="K34" s="2" t="str">
        <f t="shared" si="12"/>
        <v>(3,192,192)</v>
      </c>
      <c r="L34" s="2">
        <v>200</v>
      </c>
      <c r="M34" s="2" t="str">
        <f xml:space="preserve"> "TRL"</f>
        <v>TRL</v>
      </c>
      <c r="N34" s="2" t="str">
        <f>"trl:: (1024,3,3,200)"</f>
        <v>trl:: (1024,3,3,200)</v>
      </c>
      <c r="O34" s="2" t="b">
        <f xml:space="preserve"> FALSE</f>
        <v>0</v>
      </c>
      <c r="P34" s="2" t="str">
        <f>"(2048,6,6) --&gt; (200)"</f>
        <v>(2048,6,6) --&gt; (200)</v>
      </c>
      <c r="Q34" s="10">
        <f>3980388</f>
        <v>3980388</v>
      </c>
      <c r="R34" s="10">
        <f t="shared" ref="R34:R44" si="13" xml:space="preserve"> R33 - Q33 + Q34</f>
        <v>27488420</v>
      </c>
      <c r="S34" s="2">
        <f xml:space="preserve"> (1-(Q34/Q33))*100</f>
        <v>73.006632397021519</v>
      </c>
      <c r="T34" s="2" t="s">
        <v>13</v>
      </c>
      <c r="U34" s="2" t="s">
        <v>12</v>
      </c>
      <c r="V34" s="2" t="s">
        <v>15</v>
      </c>
      <c r="W34" s="2" t="s">
        <v>17</v>
      </c>
    </row>
    <row r="35" spans="6:23" ht="22.5" thickTop="1" thickBot="1" x14ac:dyDescent="0.4">
      <c r="F35" s="15"/>
      <c r="G35" s="21">
        <v>1</v>
      </c>
      <c r="H35" s="5" t="s">
        <v>53</v>
      </c>
      <c r="I35" s="2" t="str">
        <f t="shared" si="10"/>
        <v>Resnet50</v>
      </c>
      <c r="J35" s="2" t="str">
        <f t="shared" si="11"/>
        <v>TINY</v>
      </c>
      <c r="K35" s="2" t="str">
        <f t="shared" si="12"/>
        <v>(3,192,192)</v>
      </c>
      <c r="L35" s="2">
        <v>200</v>
      </c>
      <c r="M35" s="2" t="str">
        <f xml:space="preserve"> "TRL"</f>
        <v>TRL</v>
      </c>
      <c r="N35" s="2" t="str">
        <f>"trl:: (600,3,3,200)"</f>
        <v>trl:: (600,3,3,200)</v>
      </c>
      <c r="O35" s="2" t="b">
        <f xml:space="preserve"> FALSE</f>
        <v>0</v>
      </c>
      <c r="P35" s="2" t="str">
        <f>"(2048,6,6) --&gt; (200)"</f>
        <v>(2048,6,6) --&gt; (200)</v>
      </c>
      <c r="Q35" s="10">
        <f>2348836</f>
        <v>2348836</v>
      </c>
      <c r="R35" s="10">
        <f t="shared" si="13"/>
        <v>25856868</v>
      </c>
      <c r="S35" s="2">
        <f xml:space="preserve"> (1-(Q35/Q33))*100</f>
        <v>84.071152463752384</v>
      </c>
      <c r="T35" s="2" t="s">
        <v>13</v>
      </c>
      <c r="U35" s="2" t="s">
        <v>12</v>
      </c>
      <c r="V35" s="2" t="s">
        <v>15</v>
      </c>
      <c r="W35" s="2" t="s">
        <v>17</v>
      </c>
    </row>
    <row r="36" spans="6:23" ht="22.5" thickTop="1" thickBot="1" x14ac:dyDescent="0.4">
      <c r="F36" s="15"/>
      <c r="G36" s="21">
        <v>1</v>
      </c>
      <c r="H36" s="5" t="s">
        <v>54</v>
      </c>
      <c r="I36" s="2" t="str">
        <f t="shared" si="10"/>
        <v>Resnet50</v>
      </c>
      <c r="J36" s="2" t="str">
        <f t="shared" si="11"/>
        <v>TINY</v>
      </c>
      <c r="K36" s="2" t="str">
        <f t="shared" si="12"/>
        <v>(3,192,192)</v>
      </c>
      <c r="L36" s="2">
        <v>200</v>
      </c>
      <c r="M36" s="2" t="str">
        <f xml:space="preserve"> "TRL"</f>
        <v>TRL</v>
      </c>
      <c r="N36" s="2" t="str">
        <f>"trl:: (500,3,3,150)"</f>
        <v>trl:: (500,3,3,150)</v>
      </c>
      <c r="O36" s="2" t="b">
        <f xml:space="preserve"> FALSE</f>
        <v>0</v>
      </c>
      <c r="P36" s="2" t="str">
        <f>"(2048,6,6) --&gt; (200)"</f>
        <v>(2048,6,6) --&gt; (200)</v>
      </c>
      <c r="Q36" s="10">
        <f>1729036</f>
        <v>1729036</v>
      </c>
      <c r="R36" s="10">
        <f t="shared" si="13"/>
        <v>25237068</v>
      </c>
      <c r="S36" s="2">
        <f xml:space="preserve"> (1-(Q36/Q33))*100</f>
        <v>88.274383214203368</v>
      </c>
      <c r="T36" s="2" t="s">
        <v>13</v>
      </c>
      <c r="U36" s="2" t="s">
        <v>12</v>
      </c>
      <c r="V36" s="2" t="s">
        <v>15</v>
      </c>
      <c r="W36" s="2" t="s">
        <v>17</v>
      </c>
    </row>
    <row r="37" spans="6:23" ht="22.5" thickTop="1" thickBot="1" x14ac:dyDescent="0.4">
      <c r="F37" s="15"/>
      <c r="G37" s="21">
        <v>1</v>
      </c>
      <c r="H37" s="5" t="s">
        <v>55</v>
      </c>
      <c r="I37" s="2" t="str">
        <f t="shared" si="10"/>
        <v>Resnet50</v>
      </c>
      <c r="J37" s="2" t="str">
        <f t="shared" si="11"/>
        <v>TINY</v>
      </c>
      <c r="K37" s="2" t="str">
        <f t="shared" si="12"/>
        <v>(3,192,192)</v>
      </c>
      <c r="L37" s="2">
        <v>200</v>
      </c>
      <c r="M37" s="2" t="str">
        <f t="shared" ref="M37:M44" si="14">"Reshape+TRL"</f>
        <v>Reshape+TRL</v>
      </c>
      <c r="N37" s="2" t="str">
        <f>"trl:: (1,1,1,500,1,1,200)"</f>
        <v>trl:: (1,1,1,500,1,1,200)</v>
      </c>
      <c r="O37" s="2" t="str">
        <f xml:space="preserve"> "(2,2,2)-type1"</f>
        <v>(2,2,2)-type1</v>
      </c>
      <c r="P37" s="2" t="str">
        <f>"(2048,6,6) --&gt; (2,2,2,1024,3,3) --&gt; (200)"</f>
        <v>(2048,6,6) --&gt; (2,2,2,1024,3,3) --&gt; (200)</v>
      </c>
      <c r="Q37" s="10">
        <f>652012</f>
        <v>652012</v>
      </c>
      <c r="R37" s="10">
        <f t="shared" si="13"/>
        <v>24160044</v>
      </c>
      <c r="S37" s="2">
        <f xml:space="preserve"> (1-(Q37/Q33))*100</f>
        <v>95.578320606545603</v>
      </c>
      <c r="T37" s="2" t="s">
        <v>13</v>
      </c>
      <c r="U37" s="2" t="s">
        <v>12</v>
      </c>
      <c r="V37" s="2" t="s">
        <v>15</v>
      </c>
      <c r="W37" s="2" t="s">
        <v>17</v>
      </c>
    </row>
    <row r="38" spans="6:23" ht="22.5" thickTop="1" thickBot="1" x14ac:dyDescent="0.4">
      <c r="F38" s="15"/>
      <c r="G38" s="21">
        <v>1</v>
      </c>
      <c r="H38" s="5" t="s">
        <v>56</v>
      </c>
      <c r="I38" s="2" t="str">
        <f t="shared" si="10"/>
        <v>Resnet50</v>
      </c>
      <c r="J38" s="2" t="str">
        <f t="shared" si="11"/>
        <v>TINY</v>
      </c>
      <c r="K38" s="2" t="str">
        <f t="shared" si="12"/>
        <v>(3,192,192)</v>
      </c>
      <c r="L38" s="2">
        <v>200</v>
      </c>
      <c r="M38" s="2" t="str">
        <f t="shared" si="14"/>
        <v>Reshape+TRL</v>
      </c>
      <c r="N38" s="2" t="str">
        <f>"trl:: (1,1,1,500,1,1,200)"</f>
        <v>trl:: (1,1,1,500,1,1,200)</v>
      </c>
      <c r="O38" s="2" t="str">
        <f xml:space="preserve"> "(2,2,2)-type2"</f>
        <v>(2,2,2)-type2</v>
      </c>
      <c r="P38" s="2" t="str">
        <f>"(2048,6,6) --&gt; (2,2,2,1024,3,3) --&gt; (200)"</f>
        <v>(2048,6,6) --&gt; (2,2,2,1024,3,3) --&gt; (200)</v>
      </c>
      <c r="Q38" s="10">
        <f>652012</f>
        <v>652012</v>
      </c>
      <c r="R38" s="10">
        <f t="shared" si="13"/>
        <v>24160044</v>
      </c>
      <c r="S38" s="2">
        <f xml:space="preserve"> (1-(Q38/Q33))*100</f>
        <v>95.578320606545603</v>
      </c>
      <c r="T38" s="2" t="s">
        <v>13</v>
      </c>
      <c r="U38" s="2" t="s">
        <v>12</v>
      </c>
      <c r="V38" s="2" t="s">
        <v>15</v>
      </c>
      <c r="W38" s="2" t="s">
        <v>17</v>
      </c>
    </row>
    <row r="39" spans="6:23" ht="22.5" thickTop="1" thickBot="1" x14ac:dyDescent="0.4">
      <c r="F39" s="15"/>
      <c r="G39" s="21">
        <v>1</v>
      </c>
      <c r="H39" s="5" t="s">
        <v>57</v>
      </c>
      <c r="I39" s="2" t="str">
        <f t="shared" si="10"/>
        <v>Resnet50</v>
      </c>
      <c r="J39" s="2" t="str">
        <f t="shared" si="11"/>
        <v>TINY</v>
      </c>
      <c r="K39" s="2" t="str">
        <f t="shared" si="12"/>
        <v>(3,192,192)</v>
      </c>
      <c r="L39" s="2">
        <v>200</v>
      </c>
      <c r="M39" s="2" t="str">
        <f t="shared" si="14"/>
        <v>Reshape+TRL</v>
      </c>
      <c r="N39" s="2" t="str">
        <f>"trl:: (1,1,1,100,1,1,100)"</f>
        <v>trl:: (1,1,1,100,1,1,100)</v>
      </c>
      <c r="O39" s="2" t="str">
        <f xml:space="preserve"> "(2,2,2)-type1"</f>
        <v>(2,2,2)-type1</v>
      </c>
      <c r="P39" s="2" t="str">
        <f>"(2048,6,6) --&gt; (2,2,2,1024,3,3) --&gt; (200)"</f>
        <v>(2048,6,6) --&gt; (2,2,2,1024,3,3) --&gt; (200)</v>
      </c>
      <c r="Q39" s="10">
        <f>132412</f>
        <v>132412</v>
      </c>
      <c r="R39" s="10">
        <f t="shared" si="13"/>
        <v>23640444</v>
      </c>
      <c r="S39" s="2">
        <f xml:space="preserve"> (1-(Q39/Q33))*100</f>
        <v>99.102035833932376</v>
      </c>
      <c r="T39" s="2" t="s">
        <v>13</v>
      </c>
      <c r="U39" s="2" t="s">
        <v>12</v>
      </c>
      <c r="V39" s="2" t="s">
        <v>15</v>
      </c>
      <c r="W39" s="2" t="s">
        <v>17</v>
      </c>
    </row>
    <row r="40" spans="6:23" ht="22.5" thickTop="1" thickBot="1" x14ac:dyDescent="0.4">
      <c r="F40" s="15"/>
      <c r="G40" s="21">
        <v>1</v>
      </c>
      <c r="H40" s="5" t="s">
        <v>58</v>
      </c>
      <c r="I40" s="2" t="str">
        <f t="shared" si="10"/>
        <v>Resnet50</v>
      </c>
      <c r="J40" s="2" t="str">
        <f t="shared" si="11"/>
        <v>TINY</v>
      </c>
      <c r="K40" s="2" t="str">
        <f t="shared" si="12"/>
        <v>(3,192,192)</v>
      </c>
      <c r="L40" s="2">
        <v>200</v>
      </c>
      <c r="M40" s="2" t="str">
        <f t="shared" si="14"/>
        <v>Reshape+TRL</v>
      </c>
      <c r="N40" s="2" t="str">
        <f>"trl:: (1,1,1,100,1,1,100)"</f>
        <v>trl:: (1,1,1,100,1,1,100)</v>
      </c>
      <c r="O40" s="2" t="str">
        <f xml:space="preserve"> "(2,2,2)-type2"</f>
        <v>(2,2,2)-type2</v>
      </c>
      <c r="P40" s="2" t="str">
        <f>"(2048,6,6) --&gt; (2,2,2,1024,3,3) --&gt; (200)"</f>
        <v>(2048,6,6) --&gt; (2,2,2,1024,3,3) --&gt; (200)</v>
      </c>
      <c r="Q40" s="10">
        <f>132412</f>
        <v>132412</v>
      </c>
      <c r="R40" s="10">
        <f t="shared" si="13"/>
        <v>23640444</v>
      </c>
      <c r="S40" s="2">
        <f xml:space="preserve"> (1-(Q40/Q33))*100</f>
        <v>99.102035833932376</v>
      </c>
      <c r="T40" s="2" t="s">
        <v>13</v>
      </c>
      <c r="U40" s="2" t="s">
        <v>12</v>
      </c>
      <c r="V40" s="2" t="s">
        <v>15</v>
      </c>
      <c r="W40" s="2" t="s">
        <v>17</v>
      </c>
    </row>
    <row r="41" spans="6:23" ht="22.5" thickTop="1" thickBot="1" x14ac:dyDescent="0.4">
      <c r="F41" s="15"/>
      <c r="G41" s="21">
        <v>1</v>
      </c>
      <c r="H41" s="5" t="s">
        <v>59</v>
      </c>
      <c r="I41" s="2" t="str">
        <f t="shared" si="10"/>
        <v>Resnet50</v>
      </c>
      <c r="J41" s="2" t="str">
        <f t="shared" si="11"/>
        <v>TINY</v>
      </c>
      <c r="K41" s="2" t="str">
        <f t="shared" si="12"/>
        <v>(3,192,192)</v>
      </c>
      <c r="L41" s="2">
        <v>200</v>
      </c>
      <c r="M41" s="2" t="str">
        <f t="shared" si="14"/>
        <v>Reshape+TRL</v>
      </c>
      <c r="N41" s="2" t="str">
        <f>"trl:: (4,1,1,100,1,1,200)"</f>
        <v>trl:: (4,1,1,100,1,1,200)</v>
      </c>
      <c r="O41" s="2" t="str">
        <f xml:space="preserve"> "(16,2,2)-type1"</f>
        <v>(16,2,2)-type1</v>
      </c>
      <c r="P41" s="2" t="str">
        <f>"(2048,6,6) --&gt; (16,2,2,128,3,3) --&gt; (200)"</f>
        <v>(2048,6,6) --&gt; (16,2,2,128,3,3) --&gt; (200)</v>
      </c>
      <c r="Q41" s="10">
        <f>222474</f>
        <v>222474</v>
      </c>
      <c r="R41" s="10">
        <f t="shared" si="13"/>
        <v>23730506</v>
      </c>
      <c r="S41" s="2">
        <f xml:space="preserve"> (1-(Q41/Q33))*100</f>
        <v>98.491272091036095</v>
      </c>
      <c r="T41" s="2" t="s">
        <v>13</v>
      </c>
      <c r="U41" s="2" t="s">
        <v>12</v>
      </c>
      <c r="V41" s="2" t="s">
        <v>15</v>
      </c>
      <c r="W41" s="2" t="s">
        <v>17</v>
      </c>
    </row>
    <row r="42" spans="6:23" ht="22.5" thickTop="1" thickBot="1" x14ac:dyDescent="0.4">
      <c r="F42" s="15"/>
      <c r="G42" s="21">
        <v>1</v>
      </c>
      <c r="H42" s="5" t="s">
        <v>60</v>
      </c>
      <c r="I42" s="2" t="str">
        <f t="shared" si="10"/>
        <v>Resnet50</v>
      </c>
      <c r="J42" s="2" t="str">
        <f t="shared" si="11"/>
        <v>TINY</v>
      </c>
      <c r="K42" s="2" t="str">
        <f t="shared" si="12"/>
        <v>(3,192,192)</v>
      </c>
      <c r="L42" s="2">
        <v>200</v>
      </c>
      <c r="M42" s="2" t="str">
        <f t="shared" si="14"/>
        <v>Reshape+TRL</v>
      </c>
      <c r="N42" s="2" t="str">
        <f>"trl:: (4,1,1,100,1,1,200)"</f>
        <v>trl:: (4,1,1,100,1,1,200)</v>
      </c>
      <c r="O42" s="2" t="str">
        <f xml:space="preserve"> "(16,2,2)-type2"</f>
        <v>(16,2,2)-type2</v>
      </c>
      <c r="P42" s="2" t="str">
        <f>"(2048,6,6) --&gt; (16,2,2,128,3,3) --&gt; (200)"</f>
        <v>(2048,6,6) --&gt; (16,2,2,128,3,3) --&gt; (200)</v>
      </c>
      <c r="Q42" s="10">
        <f>222474</f>
        <v>222474</v>
      </c>
      <c r="R42" s="10">
        <f t="shared" si="13"/>
        <v>23730506</v>
      </c>
      <c r="S42" s="2">
        <f xml:space="preserve"> (1-(Q42/Q33))*100</f>
        <v>98.491272091036095</v>
      </c>
      <c r="T42" s="2" t="s">
        <v>13</v>
      </c>
      <c r="U42" s="2" t="s">
        <v>12</v>
      </c>
      <c r="V42" s="2" t="s">
        <v>15</v>
      </c>
      <c r="W42" s="2" t="s">
        <v>17</v>
      </c>
    </row>
    <row r="43" spans="6:23" ht="22.5" thickTop="1" thickBot="1" x14ac:dyDescent="0.4">
      <c r="F43" s="15"/>
      <c r="G43" s="21">
        <v>1</v>
      </c>
      <c r="H43" s="5" t="s">
        <v>61</v>
      </c>
      <c r="I43" s="7" t="str">
        <f t="shared" si="10"/>
        <v>Resnet50</v>
      </c>
      <c r="J43" s="7" t="str">
        <f t="shared" si="11"/>
        <v>TINY</v>
      </c>
      <c r="K43" s="7" t="str">
        <f t="shared" si="12"/>
        <v>(3,192,192)</v>
      </c>
      <c r="L43" s="7">
        <v>200</v>
      </c>
      <c r="M43" s="7" t="str">
        <f t="shared" si="14"/>
        <v>Reshape+TRL</v>
      </c>
      <c r="N43" s="7" t="str">
        <f>"trl:: (4,1,1,50,1,1,100)"</f>
        <v>trl:: (4,1,1,50,1,1,100)</v>
      </c>
      <c r="O43" s="7" t="str">
        <f xml:space="preserve"> "(16,2,2)-type1"</f>
        <v>(16,2,2)-type1</v>
      </c>
      <c r="P43" s="7" t="str">
        <f>"(2048,6,6) --&gt; (16,2,2,128,3,3) --&gt; (200)"</f>
        <v>(2048,6,6) --&gt; (16,2,2,128,3,3) --&gt; (200)</v>
      </c>
      <c r="Q43" s="22">
        <f>91274</f>
        <v>91274</v>
      </c>
      <c r="R43" s="22">
        <f t="shared" si="13"/>
        <v>23599306</v>
      </c>
      <c r="S43" s="7">
        <f xml:space="preserve"> (1-(Q43/Q33))*100</f>
        <v>99.381016967543303</v>
      </c>
      <c r="T43" s="7" t="s">
        <v>13</v>
      </c>
      <c r="U43" s="7" t="s">
        <v>12</v>
      </c>
      <c r="V43" s="7" t="s">
        <v>15</v>
      </c>
      <c r="W43" s="7" t="s">
        <v>17</v>
      </c>
    </row>
    <row r="44" spans="6:23" ht="22.5" thickTop="1" thickBot="1" x14ac:dyDescent="0.4">
      <c r="F44" s="15"/>
      <c r="G44" s="21">
        <v>1</v>
      </c>
      <c r="H44" s="5" t="s">
        <v>62</v>
      </c>
      <c r="I44" s="2" t="str">
        <f t="shared" si="10"/>
        <v>Resnet50</v>
      </c>
      <c r="J44" s="2" t="str">
        <f t="shared" si="11"/>
        <v>TINY</v>
      </c>
      <c r="K44" s="2" t="str">
        <f t="shared" si="12"/>
        <v>(3,192,192)</v>
      </c>
      <c r="L44" s="2">
        <v>200</v>
      </c>
      <c r="M44" s="2" t="str">
        <f t="shared" si="14"/>
        <v>Reshape+TRL</v>
      </c>
      <c r="N44" s="2" t="str">
        <f>"trl:: (4,1,1,50,1,1,100)"</f>
        <v>trl:: (4,1,1,50,1,1,100)</v>
      </c>
      <c r="O44" s="2" t="str">
        <f xml:space="preserve"> "(16,2,2)-type2"</f>
        <v>(16,2,2)-type2</v>
      </c>
      <c r="P44" s="2" t="str">
        <f>"(2048,6,6) --&gt; (16,2,2,128,3,3) --&gt; (200)"</f>
        <v>(2048,6,6) --&gt; (16,2,2,128,3,3) --&gt; (200)</v>
      </c>
      <c r="Q44" s="10">
        <f>91274</f>
        <v>91274</v>
      </c>
      <c r="R44" s="10">
        <f t="shared" si="13"/>
        <v>23599306</v>
      </c>
      <c r="S44" s="2">
        <f xml:space="preserve"> (1-(Q44/Q33))*100</f>
        <v>99.381016967543303</v>
      </c>
      <c r="T44" s="2" t="s">
        <v>13</v>
      </c>
      <c r="U44" s="2" t="s">
        <v>12</v>
      </c>
      <c r="V44" s="2" t="s">
        <v>15</v>
      </c>
      <c r="W44" s="2" t="s">
        <v>17</v>
      </c>
    </row>
    <row r="45" spans="6:23" ht="22.5" thickTop="1" thickBot="1" x14ac:dyDescent="0.4">
      <c r="F45" s="7"/>
      <c r="G45" s="1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spans="6:23" ht="22.5" thickTop="1" thickBot="1" x14ac:dyDescent="0.4">
      <c r="F46" s="15"/>
      <c r="G46" s="20">
        <v>1</v>
      </c>
      <c r="H46" s="5" t="s">
        <v>63</v>
      </c>
      <c r="I46" s="2" t="str">
        <f t="shared" ref="I46:I57" si="15" xml:space="preserve"> "Resnet101"</f>
        <v>Resnet101</v>
      </c>
      <c r="J46" s="2" t="str">
        <f t="shared" ref="J46:J57" si="16" xml:space="preserve"> "MNIST"</f>
        <v>MNIST</v>
      </c>
      <c r="K46" s="2" t="str">
        <f t="shared" ref="K46:K57" si="17" xml:space="preserve"> "(3,192,192)"</f>
        <v>(3,192,192)</v>
      </c>
      <c r="L46" s="2">
        <v>10</v>
      </c>
      <c r="M46" s="2" t="str">
        <f xml:space="preserve"> "Linear"</f>
        <v>Linear</v>
      </c>
      <c r="N46" s="2" t="s">
        <v>9</v>
      </c>
      <c r="O46" s="2" t="b">
        <f xml:space="preserve"> FALSE</f>
        <v>0</v>
      </c>
      <c r="P46" s="2" t="str">
        <f>"(2048,6,6) --&gt; (10)"</f>
        <v>(2048,6,6) --&gt; (10)</v>
      </c>
      <c r="Q46" s="10">
        <f xml:space="preserve"> 737290</f>
        <v>737290</v>
      </c>
      <c r="R46" s="10">
        <f>43237450</f>
        <v>43237450</v>
      </c>
      <c r="S46" s="2" t="s">
        <v>18</v>
      </c>
      <c r="T46" s="2" t="s">
        <v>13</v>
      </c>
      <c r="U46" s="2" t="s">
        <v>12</v>
      </c>
      <c r="V46" s="2" t="s">
        <v>15</v>
      </c>
      <c r="W46" s="2" t="s">
        <v>17</v>
      </c>
    </row>
    <row r="47" spans="6:23" ht="22.5" thickTop="1" thickBot="1" x14ac:dyDescent="0.4">
      <c r="F47" s="15"/>
      <c r="G47" s="21">
        <v>1</v>
      </c>
      <c r="H47" s="5" t="s">
        <v>64</v>
      </c>
      <c r="I47" s="2" t="str">
        <f t="shared" si="15"/>
        <v>Resnet101</v>
      </c>
      <c r="J47" s="2" t="str">
        <f t="shared" si="16"/>
        <v>MNIST</v>
      </c>
      <c r="K47" s="2" t="str">
        <f t="shared" si="17"/>
        <v>(3,192,192)</v>
      </c>
      <c r="L47" s="2">
        <v>10</v>
      </c>
      <c r="M47" s="2" t="str">
        <f xml:space="preserve"> "TRL"</f>
        <v>TRL</v>
      </c>
      <c r="N47" s="2" t="str">
        <f>"trl:: (200,3,3,8)"</f>
        <v>trl:: (200,3,3,8)</v>
      </c>
      <c r="O47" s="2" t="b">
        <f xml:space="preserve"> FALSE</f>
        <v>0</v>
      </c>
      <c r="P47" s="2" t="str">
        <f>"(2048,6,6) --&gt; (10)"</f>
        <v>(2048,6,6) --&gt; (10)</v>
      </c>
      <c r="Q47" s="10">
        <f>424116</f>
        <v>424116</v>
      </c>
      <c r="R47" s="10">
        <f t="shared" ref="R47:R57" si="18" xml:space="preserve"> R46 - Q46 + Q47</f>
        <v>42924276</v>
      </c>
      <c r="S47" s="2">
        <f xml:space="preserve"> (1-(Q47/Q46))*100</f>
        <v>42.476366151717784</v>
      </c>
      <c r="T47" s="2" t="s">
        <v>13</v>
      </c>
      <c r="U47" s="2" t="s">
        <v>12</v>
      </c>
      <c r="V47" s="2" t="s">
        <v>15</v>
      </c>
      <c r="W47" s="2" t="s">
        <v>17</v>
      </c>
    </row>
    <row r="48" spans="6:23" ht="22.5" thickTop="1" thickBot="1" x14ac:dyDescent="0.4">
      <c r="F48" s="15"/>
      <c r="G48" s="20">
        <v>1</v>
      </c>
      <c r="H48" s="5" t="s">
        <v>65</v>
      </c>
      <c r="I48" s="2" t="str">
        <f t="shared" si="15"/>
        <v>Resnet101</v>
      </c>
      <c r="J48" s="2" t="str">
        <f t="shared" si="16"/>
        <v>MNIST</v>
      </c>
      <c r="K48" s="2" t="str">
        <f t="shared" si="17"/>
        <v>(3,192,192)</v>
      </c>
      <c r="L48" s="2">
        <v>10</v>
      </c>
      <c r="M48" s="2" t="str">
        <f xml:space="preserve"> "TRL"</f>
        <v>TRL</v>
      </c>
      <c r="N48" s="2" t="str">
        <f>"trl:: (100,3,3,10)"</f>
        <v>trl:: (100,3,3,10)</v>
      </c>
      <c r="O48" s="2" t="b">
        <f xml:space="preserve"> FALSE</f>
        <v>0</v>
      </c>
      <c r="P48" s="2" t="str">
        <f>"(2048,6,6) --&gt; (10)"</f>
        <v>(2048,6,6) --&gt; (10)</v>
      </c>
      <c r="Q48" s="10">
        <f>213936</f>
        <v>213936</v>
      </c>
      <c r="R48" s="10">
        <f t="shared" si="18"/>
        <v>42714096</v>
      </c>
      <c r="S48" s="2">
        <f xml:space="preserve"> (1-(Q48/Q46))*100</f>
        <v>70.983466478590501</v>
      </c>
      <c r="T48" s="2" t="s">
        <v>13</v>
      </c>
      <c r="U48" s="2" t="s">
        <v>12</v>
      </c>
      <c r="V48" s="2" t="s">
        <v>15</v>
      </c>
      <c r="W48" s="2" t="s">
        <v>17</v>
      </c>
    </row>
    <row r="49" spans="6:23" ht="22.5" thickTop="1" thickBot="1" x14ac:dyDescent="0.4">
      <c r="F49" s="15"/>
      <c r="G49" s="20">
        <v>1</v>
      </c>
      <c r="H49" s="5" t="s">
        <v>66</v>
      </c>
      <c r="I49" s="2" t="str">
        <f t="shared" si="15"/>
        <v>Resnet101</v>
      </c>
      <c r="J49" s="2" t="str">
        <f t="shared" si="16"/>
        <v>MNIST</v>
      </c>
      <c r="K49" s="2" t="str">
        <f t="shared" si="17"/>
        <v>(3,192,192)</v>
      </c>
      <c r="L49" s="2">
        <v>10</v>
      </c>
      <c r="M49" s="2" t="str">
        <f xml:space="preserve"> "TRL"</f>
        <v>TRL</v>
      </c>
      <c r="N49" s="2" t="str">
        <f>"trl:: (50,3,3,3)"</f>
        <v>trl:: (50,3,3,3)</v>
      </c>
      <c r="O49" s="2" t="b">
        <f xml:space="preserve"> FALSE</f>
        <v>0</v>
      </c>
      <c r="P49" s="2" t="str">
        <f>"(2048,6,6) --&gt; (10)"</f>
        <v>(2048,6,6) --&gt; (10)</v>
      </c>
      <c r="Q49" s="10">
        <f>103816</f>
        <v>103816</v>
      </c>
      <c r="R49" s="10">
        <f t="shared" si="18"/>
        <v>42603976</v>
      </c>
      <c r="S49" s="2">
        <f xml:space="preserve"> (1-(Q49/Q46))*100</f>
        <v>85.919244801909699</v>
      </c>
      <c r="T49" s="2" t="s">
        <v>13</v>
      </c>
      <c r="U49" s="2" t="s">
        <v>12</v>
      </c>
      <c r="V49" s="2" t="s">
        <v>15</v>
      </c>
      <c r="W49" s="2" t="s">
        <v>17</v>
      </c>
    </row>
    <row r="50" spans="6:23" ht="22.5" thickTop="1" thickBot="1" x14ac:dyDescent="0.4">
      <c r="F50" s="15"/>
      <c r="G50" s="20">
        <v>1</v>
      </c>
      <c r="H50" s="5" t="s">
        <v>67</v>
      </c>
      <c r="I50" s="2" t="str">
        <f t="shared" si="15"/>
        <v>Resnet101</v>
      </c>
      <c r="J50" s="2" t="str">
        <f t="shared" si="16"/>
        <v>MNIST</v>
      </c>
      <c r="K50" s="2" t="str">
        <f t="shared" si="17"/>
        <v>(3,192,192)</v>
      </c>
      <c r="L50" s="2">
        <v>10</v>
      </c>
      <c r="M50" s="2" t="str">
        <f t="shared" ref="M50:M57" si="19">"Reshape+TRL"</f>
        <v>Reshape+TRL</v>
      </c>
      <c r="N50" s="2" t="str">
        <f>"trl:: (1,1,1,100,1,1,10)"</f>
        <v>trl:: (1,1,1,100,1,1,10)</v>
      </c>
      <c r="O50" s="2" t="str">
        <f xml:space="preserve"> "(2,2,2)-type1"</f>
        <v>(2,2,2)-type1</v>
      </c>
      <c r="P50" s="2" t="str">
        <f>"(2048,6,6) --&gt; (2,2,2,1024,3,3) --&gt; (10)"</f>
        <v>(2048,6,6) --&gt; (2,2,2,1024,3,3) --&gt; (10)</v>
      </c>
      <c r="Q50" s="10">
        <f>103512</f>
        <v>103512</v>
      </c>
      <c r="R50" s="10">
        <f t="shared" si="18"/>
        <v>42603672</v>
      </c>
      <c r="S50" s="2">
        <f xml:space="preserve"> (1-(Q50/Q46))*100</f>
        <v>85.960476881552722</v>
      </c>
      <c r="T50" s="2" t="s">
        <v>13</v>
      </c>
      <c r="U50" s="2" t="s">
        <v>12</v>
      </c>
      <c r="V50" s="2" t="s">
        <v>15</v>
      </c>
      <c r="W50" s="2" t="s">
        <v>17</v>
      </c>
    </row>
    <row r="51" spans="6:23" ht="22.5" thickTop="1" thickBot="1" x14ac:dyDescent="0.4">
      <c r="F51" s="15"/>
      <c r="G51" s="20">
        <v>1</v>
      </c>
      <c r="H51" s="5" t="s">
        <v>68</v>
      </c>
      <c r="I51" s="2" t="str">
        <f t="shared" si="15"/>
        <v>Resnet101</v>
      </c>
      <c r="J51" s="2" t="str">
        <f t="shared" si="16"/>
        <v>MNIST</v>
      </c>
      <c r="K51" s="2" t="str">
        <f t="shared" si="17"/>
        <v>(3,192,192)</v>
      </c>
      <c r="L51" s="2">
        <v>10</v>
      </c>
      <c r="M51" s="2" t="str">
        <f t="shared" si="19"/>
        <v>Reshape+TRL</v>
      </c>
      <c r="N51" s="2" t="str">
        <f>"trl:: (1,1,1,100,1,1,10)"</f>
        <v>trl:: (1,1,1,100,1,1,10)</v>
      </c>
      <c r="O51" s="2" t="str">
        <f xml:space="preserve"> "(2,2,2)-type2"</f>
        <v>(2,2,2)-type2</v>
      </c>
      <c r="P51" s="2" t="str">
        <f>"(2048,6,6) --&gt; (2,2,2,1024,3,3) --&gt; (10)"</f>
        <v>(2048,6,6) --&gt; (2,2,2,1024,3,3) --&gt; (10)</v>
      </c>
      <c r="Q51" s="10">
        <f>103512</f>
        <v>103512</v>
      </c>
      <c r="R51" s="10">
        <f t="shared" si="18"/>
        <v>42603672</v>
      </c>
      <c r="S51" s="2">
        <f xml:space="preserve"> (1-(Q51/Q46))*100</f>
        <v>85.960476881552722</v>
      </c>
      <c r="T51" s="2" t="s">
        <v>13</v>
      </c>
      <c r="U51" s="2" t="s">
        <v>12</v>
      </c>
      <c r="V51" s="2" t="s">
        <v>15</v>
      </c>
      <c r="W51" s="2" t="s">
        <v>17</v>
      </c>
    </row>
    <row r="52" spans="6:23" ht="22.5" thickTop="1" thickBot="1" x14ac:dyDescent="0.4">
      <c r="F52" s="15"/>
      <c r="G52" s="20">
        <v>1</v>
      </c>
      <c r="H52" s="5" t="s">
        <v>69</v>
      </c>
      <c r="I52" s="2" t="str">
        <f t="shared" si="15"/>
        <v>Resnet101</v>
      </c>
      <c r="J52" s="2" t="str">
        <f t="shared" si="16"/>
        <v>MNIST</v>
      </c>
      <c r="K52" s="2" t="str">
        <f t="shared" si="17"/>
        <v>(3,192,192)</v>
      </c>
      <c r="L52" s="2">
        <v>10</v>
      </c>
      <c r="M52" s="2" t="str">
        <f t="shared" si="19"/>
        <v>Reshape+TRL</v>
      </c>
      <c r="N52" s="2" t="str">
        <f>"trl:: (1,1,1,20,1,1,4)"</f>
        <v>trl:: (1,1,1,20,1,1,4)</v>
      </c>
      <c r="O52" s="2" t="str">
        <f xml:space="preserve"> "(2,2,2)-type1"</f>
        <v>(2,2,2)-type1</v>
      </c>
      <c r="P52" s="2" t="str">
        <f>"(2048,6,6) --&gt; (2,2,2,1024,3,3) --&gt; (10)"</f>
        <v>(2048,6,6) --&gt; (2,2,2,1024,3,3) --&gt; (10)</v>
      </c>
      <c r="Q52" s="10">
        <f>20612</f>
        <v>20612</v>
      </c>
      <c r="R52" s="10">
        <f t="shared" si="18"/>
        <v>42520772</v>
      </c>
      <c r="S52" s="2">
        <f xml:space="preserve"> (1-(Q52/Q46))*100</f>
        <v>97.204356494730703</v>
      </c>
      <c r="T52" s="2" t="s">
        <v>13</v>
      </c>
      <c r="U52" s="2" t="s">
        <v>12</v>
      </c>
      <c r="V52" s="2" t="s">
        <v>15</v>
      </c>
      <c r="W52" s="2" t="s">
        <v>17</v>
      </c>
    </row>
    <row r="53" spans="6:23" ht="22.5" thickTop="1" thickBot="1" x14ac:dyDescent="0.4">
      <c r="F53" s="15"/>
      <c r="G53" s="20">
        <v>1</v>
      </c>
      <c r="H53" s="5" t="s">
        <v>70</v>
      </c>
      <c r="I53" s="2" t="str">
        <f t="shared" si="15"/>
        <v>Resnet101</v>
      </c>
      <c r="J53" s="2" t="str">
        <f t="shared" si="16"/>
        <v>MNIST</v>
      </c>
      <c r="K53" s="2" t="str">
        <f t="shared" si="17"/>
        <v>(3,192,192)</v>
      </c>
      <c r="L53" s="2">
        <v>10</v>
      </c>
      <c r="M53" s="2" t="str">
        <f t="shared" si="19"/>
        <v>Reshape+TRL</v>
      </c>
      <c r="N53" s="2" t="str">
        <f>"trl:: (1,1,1,20,1,1,4)"</f>
        <v>trl:: (1,1,1,20,1,1,4)</v>
      </c>
      <c r="O53" s="2" t="str">
        <f xml:space="preserve"> "(2,2,2)-type2"</f>
        <v>(2,2,2)-type2</v>
      </c>
      <c r="P53" s="2" t="str">
        <f>"(2048,6,6) --&gt; (2,2,2,1024,3,3) --&gt; (10)"</f>
        <v>(2048,6,6) --&gt; (2,2,2,1024,3,3) --&gt; (10)</v>
      </c>
      <c r="Q53" s="10">
        <f>20612</f>
        <v>20612</v>
      </c>
      <c r="R53" s="10">
        <f t="shared" si="18"/>
        <v>42520772</v>
      </c>
      <c r="S53" s="2">
        <f xml:space="preserve"> (1-(Q53/Q46))*100</f>
        <v>97.204356494730703</v>
      </c>
      <c r="T53" s="2" t="s">
        <v>13</v>
      </c>
      <c r="U53" s="2" t="s">
        <v>12</v>
      </c>
      <c r="V53" s="2" t="s">
        <v>15</v>
      </c>
      <c r="W53" s="2" t="s">
        <v>17</v>
      </c>
    </row>
    <row r="54" spans="6:23" ht="22.5" thickTop="1" thickBot="1" x14ac:dyDescent="0.4">
      <c r="F54" s="15"/>
      <c r="G54" s="21">
        <v>1</v>
      </c>
      <c r="H54" s="5" t="s">
        <v>71</v>
      </c>
      <c r="I54" s="2" t="str">
        <f t="shared" si="15"/>
        <v>Resnet101</v>
      </c>
      <c r="J54" s="2" t="str">
        <f t="shared" si="16"/>
        <v>MNIST</v>
      </c>
      <c r="K54" s="2" t="str">
        <f t="shared" si="17"/>
        <v>(3,192,192)</v>
      </c>
      <c r="L54" s="2">
        <v>10</v>
      </c>
      <c r="M54" s="2" t="str">
        <f t="shared" si="19"/>
        <v>Reshape+TRL</v>
      </c>
      <c r="N54" s="2" t="str">
        <f>"trl:: (4,1,1,20,1,1,10)"</f>
        <v>trl:: (4,1,1,20,1,1,10)</v>
      </c>
      <c r="O54" s="2" t="str">
        <f xml:space="preserve"> "(16,2,2)-type1"</f>
        <v>(16,2,2)-type1</v>
      </c>
      <c r="P54" s="2" t="str">
        <f>"(2048,6,6) --&gt; (16,2,2,128,3,3) --&gt; (10)"</f>
        <v>(2048,6,6) --&gt; (16,2,2,128,3,3) --&gt; (10)</v>
      </c>
      <c r="Q54" s="10">
        <f>3534</f>
        <v>3534</v>
      </c>
      <c r="R54" s="10">
        <f t="shared" si="18"/>
        <v>42503694</v>
      </c>
      <c r="S54" s="2">
        <f xml:space="preserve"> (1-(Q54/Q46))*100</f>
        <v>99.52067707414993</v>
      </c>
      <c r="T54" s="2" t="s">
        <v>13</v>
      </c>
      <c r="U54" s="2" t="s">
        <v>12</v>
      </c>
      <c r="V54" s="2" t="s">
        <v>15</v>
      </c>
      <c r="W54" s="2" t="s">
        <v>17</v>
      </c>
    </row>
    <row r="55" spans="6:23" ht="22.5" thickTop="1" thickBot="1" x14ac:dyDescent="0.4">
      <c r="F55" s="15"/>
      <c r="G55" s="21">
        <v>1</v>
      </c>
      <c r="H55" s="5" t="s">
        <v>72</v>
      </c>
      <c r="I55" s="2" t="str">
        <f t="shared" si="15"/>
        <v>Resnet101</v>
      </c>
      <c r="J55" s="2" t="str">
        <f t="shared" si="16"/>
        <v>MNIST</v>
      </c>
      <c r="K55" s="2" t="str">
        <f t="shared" si="17"/>
        <v>(3,192,192)</v>
      </c>
      <c r="L55" s="2">
        <v>10</v>
      </c>
      <c r="M55" s="2" t="str">
        <f t="shared" si="19"/>
        <v>Reshape+TRL</v>
      </c>
      <c r="N55" s="2" t="str">
        <f>"trl:: (4,1,1,20,1,1,10)"</f>
        <v>trl:: (4,1,1,20,1,1,10)</v>
      </c>
      <c r="O55" s="2" t="str">
        <f xml:space="preserve"> "(16,2,2)-type2"</f>
        <v>(16,2,2)-type2</v>
      </c>
      <c r="P55" s="2" t="str">
        <f>"(2048,6,6) --&gt; (16,2,2,128,3,3) --&gt; (10)"</f>
        <v>(2048,6,6) --&gt; (16,2,2,128,3,3) --&gt; (10)</v>
      </c>
      <c r="Q55" s="10">
        <f>3534</f>
        <v>3534</v>
      </c>
      <c r="R55" s="10">
        <f t="shared" si="18"/>
        <v>42503694</v>
      </c>
      <c r="S55" s="2">
        <f xml:space="preserve"> (1-(Q55/Q46))*100</f>
        <v>99.52067707414993</v>
      </c>
      <c r="T55" s="2" t="s">
        <v>13</v>
      </c>
      <c r="U55" s="2" t="s">
        <v>12</v>
      </c>
      <c r="V55" s="2" t="s">
        <v>15</v>
      </c>
      <c r="W55" s="2" t="s">
        <v>17</v>
      </c>
    </row>
    <row r="56" spans="6:23" ht="22.5" thickTop="1" thickBot="1" x14ac:dyDescent="0.4">
      <c r="F56" s="15"/>
      <c r="G56" s="21">
        <v>1</v>
      </c>
      <c r="H56" s="5" t="s">
        <v>73</v>
      </c>
      <c r="I56" s="2" t="str">
        <f t="shared" si="15"/>
        <v>Resnet101</v>
      </c>
      <c r="J56" s="2" t="str">
        <f t="shared" si="16"/>
        <v>MNIST</v>
      </c>
      <c r="K56" s="2" t="str">
        <f t="shared" si="17"/>
        <v>(3,192,192)</v>
      </c>
      <c r="L56" s="2">
        <v>10</v>
      </c>
      <c r="M56" s="2" t="str">
        <f t="shared" si="19"/>
        <v>Reshape+TRL</v>
      </c>
      <c r="N56" s="2" t="str">
        <f>"trl:: (4,1,1,10,1,1,4)"</f>
        <v>trl:: (4,1,1,10,1,1,4)</v>
      </c>
      <c r="O56" s="2" t="str">
        <f xml:space="preserve"> "(16,2,2)-type1"</f>
        <v>(16,2,2)-type1</v>
      </c>
      <c r="P56" s="2" t="str">
        <f>"(2048,6,6) --&gt; (16,2,2,128,3,3) --&gt; (10)"</f>
        <v>(2048,6,6) --&gt; (16,2,2,128,3,3) --&gt; (10)</v>
      </c>
      <c r="Q56" s="10">
        <f>1386</f>
        <v>1386</v>
      </c>
      <c r="R56" s="10">
        <f t="shared" si="18"/>
        <v>42501546</v>
      </c>
      <c r="S56" s="2">
        <f xml:space="preserve"> (1-(Q56/Q46))*100</f>
        <v>99.812014268469667</v>
      </c>
      <c r="T56" s="2" t="s">
        <v>13</v>
      </c>
      <c r="U56" s="2" t="s">
        <v>12</v>
      </c>
      <c r="V56" s="2" t="s">
        <v>15</v>
      </c>
      <c r="W56" s="2" t="s">
        <v>17</v>
      </c>
    </row>
    <row r="57" spans="6:23" ht="22.5" thickTop="1" thickBot="1" x14ac:dyDescent="0.4">
      <c r="F57" s="15"/>
      <c r="G57" s="21">
        <v>1</v>
      </c>
      <c r="H57" s="5" t="s">
        <v>74</v>
      </c>
      <c r="I57" s="2" t="str">
        <f t="shared" si="15"/>
        <v>Resnet101</v>
      </c>
      <c r="J57" s="2" t="str">
        <f t="shared" si="16"/>
        <v>MNIST</v>
      </c>
      <c r="K57" s="2" t="str">
        <f t="shared" si="17"/>
        <v>(3,192,192)</v>
      </c>
      <c r="L57" s="2">
        <v>10</v>
      </c>
      <c r="M57" s="2" t="str">
        <f t="shared" si="19"/>
        <v>Reshape+TRL</v>
      </c>
      <c r="N57" s="2" t="str">
        <f>"trl:: (4,1,1,10,1,1,4)"</f>
        <v>trl:: (4,1,1,10,1,1,4)</v>
      </c>
      <c r="O57" s="2" t="str">
        <f xml:space="preserve"> "(16,2,2)-type2"</f>
        <v>(16,2,2)-type2</v>
      </c>
      <c r="P57" s="2" t="str">
        <f>"(2048,6,6) --&gt; (16,2,2,128,3,3) --&gt; (10)"</f>
        <v>(2048,6,6) --&gt; (16,2,2,128,3,3) --&gt; (10)</v>
      </c>
      <c r="Q57" s="10">
        <f>1386</f>
        <v>1386</v>
      </c>
      <c r="R57" s="10">
        <f t="shared" si="18"/>
        <v>42501546</v>
      </c>
      <c r="S57" s="2">
        <f xml:space="preserve"> (1-(Q57/Q46))*100</f>
        <v>99.812014268469667</v>
      </c>
      <c r="T57" s="2" t="s">
        <v>13</v>
      </c>
      <c r="U57" s="2" t="s">
        <v>12</v>
      </c>
      <c r="V57" s="2" t="s">
        <v>15</v>
      </c>
      <c r="W57" s="2" t="s">
        <v>17</v>
      </c>
    </row>
    <row r="58" spans="6:23" ht="22.5" thickTop="1" thickBot="1" x14ac:dyDescent="0.4">
      <c r="F58" s="7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spans="6:23" ht="22.5" thickTop="1" thickBot="1" x14ac:dyDescent="0.4">
      <c r="F59" s="15"/>
      <c r="G59" s="20">
        <v>1</v>
      </c>
      <c r="H59" s="5" t="s">
        <v>75</v>
      </c>
      <c r="I59" s="2" t="str">
        <f t="shared" ref="I59:I70" si="20" xml:space="preserve"> "Resnet101"</f>
        <v>Resnet101</v>
      </c>
      <c r="J59" s="2" t="str">
        <f t="shared" ref="J59:J70" si="21" xml:space="preserve"> "CIFAR10"</f>
        <v>CIFAR10</v>
      </c>
      <c r="K59" s="2" t="str">
        <f t="shared" ref="K59:K70" si="22" xml:space="preserve"> "(3,192,192)"</f>
        <v>(3,192,192)</v>
      </c>
      <c r="L59" s="2">
        <v>10</v>
      </c>
      <c r="M59" s="2" t="str">
        <f xml:space="preserve"> "Linear"</f>
        <v>Linear</v>
      </c>
      <c r="N59" s="2" t="s">
        <v>9</v>
      </c>
      <c r="O59" s="2" t="b">
        <f xml:space="preserve"> FALSE</f>
        <v>0</v>
      </c>
      <c r="P59" s="2" t="str">
        <f>"(2048,6,6) --&gt; (10)"</f>
        <v>(2048,6,6) --&gt; (10)</v>
      </c>
      <c r="Q59" s="10">
        <f xml:space="preserve"> 737290</f>
        <v>737290</v>
      </c>
      <c r="R59" s="10">
        <f>43237450</f>
        <v>43237450</v>
      </c>
      <c r="S59" s="2" t="s">
        <v>18</v>
      </c>
      <c r="T59" s="2" t="s">
        <v>13</v>
      </c>
      <c r="U59" s="2" t="s">
        <v>12</v>
      </c>
      <c r="V59" s="2" t="s">
        <v>15</v>
      </c>
      <c r="W59" s="2" t="s">
        <v>17</v>
      </c>
    </row>
    <row r="60" spans="6:23" ht="22.5" thickTop="1" thickBot="1" x14ac:dyDescent="0.4">
      <c r="F60" s="15"/>
      <c r="G60" s="21">
        <v>1</v>
      </c>
      <c r="H60" s="5" t="s">
        <v>76</v>
      </c>
      <c r="I60" s="2" t="str">
        <f t="shared" si="20"/>
        <v>Resnet101</v>
      </c>
      <c r="J60" s="2" t="str">
        <f t="shared" si="21"/>
        <v>CIFAR10</v>
      </c>
      <c r="K60" s="2" t="str">
        <f t="shared" si="22"/>
        <v>(3,192,192)</v>
      </c>
      <c r="L60" s="2">
        <v>10</v>
      </c>
      <c r="M60" s="2" t="str">
        <f xml:space="preserve"> "TRL"</f>
        <v>TRL</v>
      </c>
      <c r="N60" s="2" t="str">
        <f>"trl:: (200,3,3,8)"</f>
        <v>trl:: (200,3,3,8)</v>
      </c>
      <c r="O60" s="2" t="b">
        <f xml:space="preserve"> FALSE</f>
        <v>0</v>
      </c>
      <c r="P60" s="2" t="str">
        <f>"(2048,6,6) --&gt; (10)"</f>
        <v>(2048,6,6) --&gt; (10)</v>
      </c>
      <c r="Q60" s="10">
        <f>424116</f>
        <v>424116</v>
      </c>
      <c r="R60" s="10">
        <f t="shared" ref="R60:R70" si="23" xml:space="preserve"> R59 - Q59 + Q60</f>
        <v>42924276</v>
      </c>
      <c r="S60" s="2">
        <f xml:space="preserve"> (1-(Q60/Q59))*100</f>
        <v>42.476366151717784</v>
      </c>
      <c r="T60" s="2" t="s">
        <v>13</v>
      </c>
      <c r="U60" s="2" t="s">
        <v>12</v>
      </c>
      <c r="V60" s="2" t="s">
        <v>15</v>
      </c>
      <c r="W60" s="2" t="s">
        <v>17</v>
      </c>
    </row>
    <row r="61" spans="6:23" ht="22.5" thickTop="1" thickBot="1" x14ac:dyDescent="0.4">
      <c r="F61" s="15"/>
      <c r="G61" s="20">
        <v>1</v>
      </c>
      <c r="H61" s="5" t="s">
        <v>77</v>
      </c>
      <c r="I61" s="2" t="str">
        <f t="shared" si="20"/>
        <v>Resnet101</v>
      </c>
      <c r="J61" s="2" t="str">
        <f t="shared" si="21"/>
        <v>CIFAR10</v>
      </c>
      <c r="K61" s="2" t="str">
        <f t="shared" si="22"/>
        <v>(3,192,192)</v>
      </c>
      <c r="L61" s="2">
        <v>10</v>
      </c>
      <c r="M61" s="2" t="str">
        <f xml:space="preserve"> "TRL"</f>
        <v>TRL</v>
      </c>
      <c r="N61" s="2" t="str">
        <f>"trl:: (100,3,3,10)"</f>
        <v>trl:: (100,3,3,10)</v>
      </c>
      <c r="O61" s="2" t="b">
        <f xml:space="preserve"> FALSE</f>
        <v>0</v>
      </c>
      <c r="P61" s="2" t="str">
        <f>"(2048,6,6) --&gt; (10)"</f>
        <v>(2048,6,6) --&gt; (10)</v>
      </c>
      <c r="Q61" s="10">
        <f>213936</f>
        <v>213936</v>
      </c>
      <c r="R61" s="10">
        <f t="shared" si="23"/>
        <v>42714096</v>
      </c>
      <c r="S61" s="2">
        <f xml:space="preserve"> (1-(Q61/Q59))*100</f>
        <v>70.983466478590501</v>
      </c>
      <c r="T61" s="2" t="s">
        <v>13</v>
      </c>
      <c r="U61" s="2" t="s">
        <v>12</v>
      </c>
      <c r="V61" s="2" t="s">
        <v>15</v>
      </c>
      <c r="W61" s="2" t="s">
        <v>17</v>
      </c>
    </row>
    <row r="62" spans="6:23" ht="22.5" thickTop="1" thickBot="1" x14ac:dyDescent="0.4">
      <c r="F62" s="15"/>
      <c r="G62" s="20">
        <v>1</v>
      </c>
      <c r="H62" s="5" t="s">
        <v>78</v>
      </c>
      <c r="I62" s="2" t="str">
        <f t="shared" si="20"/>
        <v>Resnet101</v>
      </c>
      <c r="J62" s="2" t="str">
        <f t="shared" si="21"/>
        <v>CIFAR10</v>
      </c>
      <c r="K62" s="2" t="str">
        <f t="shared" si="22"/>
        <v>(3,192,192)</v>
      </c>
      <c r="L62" s="2">
        <v>10</v>
      </c>
      <c r="M62" s="2" t="str">
        <f xml:space="preserve"> "TRL"</f>
        <v>TRL</v>
      </c>
      <c r="N62" s="2" t="str">
        <f>"trl:: (50,3,3,3)"</f>
        <v>trl:: (50,3,3,3)</v>
      </c>
      <c r="O62" s="2" t="b">
        <f xml:space="preserve"> FALSE</f>
        <v>0</v>
      </c>
      <c r="P62" s="2" t="str">
        <f>"(2048,6,6) --&gt; (10)"</f>
        <v>(2048,6,6) --&gt; (10)</v>
      </c>
      <c r="Q62" s="10">
        <f>103816</f>
        <v>103816</v>
      </c>
      <c r="R62" s="10">
        <f t="shared" si="23"/>
        <v>42603976</v>
      </c>
      <c r="S62" s="2">
        <f xml:space="preserve"> (1-(Q62/Q59))*100</f>
        <v>85.919244801909699</v>
      </c>
      <c r="T62" s="2" t="s">
        <v>13</v>
      </c>
      <c r="U62" s="2" t="s">
        <v>12</v>
      </c>
      <c r="V62" s="2" t="s">
        <v>15</v>
      </c>
      <c r="W62" s="2" t="s">
        <v>17</v>
      </c>
    </row>
    <row r="63" spans="6:23" ht="22.5" thickTop="1" thickBot="1" x14ac:dyDescent="0.4">
      <c r="F63" s="15"/>
      <c r="G63" s="20">
        <v>1</v>
      </c>
      <c r="H63" s="5" t="s">
        <v>79</v>
      </c>
      <c r="I63" s="2" t="str">
        <f t="shared" si="20"/>
        <v>Resnet101</v>
      </c>
      <c r="J63" s="2" t="str">
        <f t="shared" si="21"/>
        <v>CIFAR10</v>
      </c>
      <c r="K63" s="2" t="str">
        <f t="shared" si="22"/>
        <v>(3,192,192)</v>
      </c>
      <c r="L63" s="2">
        <v>10</v>
      </c>
      <c r="M63" s="2" t="str">
        <f t="shared" ref="M63:M70" si="24">"Reshape+TRL"</f>
        <v>Reshape+TRL</v>
      </c>
      <c r="N63" s="2" t="str">
        <f>"trl:: (1,1,1,100,1,1,10)"</f>
        <v>trl:: (1,1,1,100,1,1,10)</v>
      </c>
      <c r="O63" s="2" t="str">
        <f xml:space="preserve"> "(2,2,2)-type1"</f>
        <v>(2,2,2)-type1</v>
      </c>
      <c r="P63" s="2" t="str">
        <f>"(2048,6,6) --&gt; (2,2,2,1024,3,3) --&gt; (10)"</f>
        <v>(2048,6,6) --&gt; (2,2,2,1024,3,3) --&gt; (10)</v>
      </c>
      <c r="Q63" s="10">
        <f>103512</f>
        <v>103512</v>
      </c>
      <c r="R63" s="10">
        <f t="shared" si="23"/>
        <v>42603672</v>
      </c>
      <c r="S63" s="2">
        <f xml:space="preserve"> (1-(Q63/Q59))*100</f>
        <v>85.960476881552722</v>
      </c>
      <c r="T63" s="2" t="s">
        <v>13</v>
      </c>
      <c r="U63" s="2" t="s">
        <v>12</v>
      </c>
      <c r="V63" s="2" t="s">
        <v>15</v>
      </c>
      <c r="W63" s="2" t="s">
        <v>17</v>
      </c>
    </row>
    <row r="64" spans="6:23" ht="22.5" thickTop="1" thickBot="1" x14ac:dyDescent="0.4">
      <c r="F64" s="15"/>
      <c r="G64" s="20">
        <v>1</v>
      </c>
      <c r="H64" s="5" t="s">
        <v>80</v>
      </c>
      <c r="I64" s="7" t="str">
        <f t="shared" si="20"/>
        <v>Resnet101</v>
      </c>
      <c r="J64" s="7" t="str">
        <f t="shared" si="21"/>
        <v>CIFAR10</v>
      </c>
      <c r="K64" s="7" t="str">
        <f t="shared" si="22"/>
        <v>(3,192,192)</v>
      </c>
      <c r="L64" s="7">
        <v>10</v>
      </c>
      <c r="M64" s="7" t="str">
        <f t="shared" si="24"/>
        <v>Reshape+TRL</v>
      </c>
      <c r="N64" s="7" t="str">
        <f>"trl:: (1,1,1,100,1,1,10)"</f>
        <v>trl:: (1,1,1,100,1,1,10)</v>
      </c>
      <c r="O64" s="7" t="str">
        <f xml:space="preserve"> "(2,2,2)-type2"</f>
        <v>(2,2,2)-type2</v>
      </c>
      <c r="P64" s="7" t="str">
        <f>"(2048,6,6) --&gt; (2,2,2,1024,3,3) --&gt; (10)"</f>
        <v>(2048,6,6) --&gt; (2,2,2,1024,3,3) --&gt; (10)</v>
      </c>
      <c r="Q64" s="22">
        <f>103512</f>
        <v>103512</v>
      </c>
      <c r="R64" s="22">
        <f t="shared" si="23"/>
        <v>42603672</v>
      </c>
      <c r="S64" s="7">
        <f xml:space="preserve"> (1-(Q64/Q59))*100</f>
        <v>85.960476881552722</v>
      </c>
      <c r="T64" s="7" t="s">
        <v>13</v>
      </c>
      <c r="U64" s="7" t="s">
        <v>12</v>
      </c>
      <c r="V64" s="7" t="s">
        <v>15</v>
      </c>
      <c r="W64" s="7" t="s">
        <v>17</v>
      </c>
    </row>
    <row r="65" spans="6:23" ht="22.5" thickTop="1" thickBot="1" x14ac:dyDescent="0.4">
      <c r="F65" s="15"/>
      <c r="G65" s="20">
        <v>1</v>
      </c>
      <c r="H65" s="5" t="s">
        <v>81</v>
      </c>
      <c r="I65" s="2" t="str">
        <f t="shared" si="20"/>
        <v>Resnet101</v>
      </c>
      <c r="J65" s="2" t="str">
        <f t="shared" si="21"/>
        <v>CIFAR10</v>
      </c>
      <c r="K65" s="2" t="str">
        <f t="shared" si="22"/>
        <v>(3,192,192)</v>
      </c>
      <c r="L65" s="2">
        <v>10</v>
      </c>
      <c r="M65" s="2" t="str">
        <f t="shared" si="24"/>
        <v>Reshape+TRL</v>
      </c>
      <c r="N65" s="2" t="str">
        <f>"trl:: (1,1,1,20,1,1,4)"</f>
        <v>trl:: (1,1,1,20,1,1,4)</v>
      </c>
      <c r="O65" s="2" t="str">
        <f xml:space="preserve"> "(2,2,2)-type1"</f>
        <v>(2,2,2)-type1</v>
      </c>
      <c r="P65" s="2" t="str">
        <f>"(2048,6,6) --&gt; (2,2,2,1024,3,3) --&gt; (10)"</f>
        <v>(2048,6,6) --&gt; (2,2,2,1024,3,3) --&gt; (10)</v>
      </c>
      <c r="Q65" s="10">
        <f>20612</f>
        <v>20612</v>
      </c>
      <c r="R65" s="10">
        <f t="shared" si="23"/>
        <v>42520772</v>
      </c>
      <c r="S65" s="2">
        <f xml:space="preserve"> (1-(Q65/Q59))*100</f>
        <v>97.204356494730703</v>
      </c>
      <c r="T65" s="2" t="s">
        <v>13</v>
      </c>
      <c r="U65" s="2" t="s">
        <v>12</v>
      </c>
      <c r="V65" s="2" t="s">
        <v>15</v>
      </c>
      <c r="W65" s="2" t="s">
        <v>17</v>
      </c>
    </row>
    <row r="66" spans="6:23" ht="22.5" thickTop="1" thickBot="1" x14ac:dyDescent="0.4">
      <c r="F66" s="15"/>
      <c r="G66" s="20">
        <v>1</v>
      </c>
      <c r="H66" s="5" t="s">
        <v>82</v>
      </c>
      <c r="I66" s="2" t="str">
        <f t="shared" si="20"/>
        <v>Resnet101</v>
      </c>
      <c r="J66" s="2" t="str">
        <f t="shared" si="21"/>
        <v>CIFAR10</v>
      </c>
      <c r="K66" s="2" t="str">
        <f t="shared" si="22"/>
        <v>(3,192,192)</v>
      </c>
      <c r="L66" s="2">
        <v>10</v>
      </c>
      <c r="M66" s="2" t="str">
        <f t="shared" si="24"/>
        <v>Reshape+TRL</v>
      </c>
      <c r="N66" s="2" t="str">
        <f>"trl:: (1,1,1,20,1,1,4)"</f>
        <v>trl:: (1,1,1,20,1,1,4)</v>
      </c>
      <c r="O66" s="2" t="str">
        <f xml:space="preserve"> "(2,2,2)-type2"</f>
        <v>(2,2,2)-type2</v>
      </c>
      <c r="P66" s="2" t="str">
        <f>"(2048,6,6) --&gt; (2,2,2,1024,3,3) --&gt; (10)"</f>
        <v>(2048,6,6) --&gt; (2,2,2,1024,3,3) --&gt; (10)</v>
      </c>
      <c r="Q66" s="10">
        <f>20612</f>
        <v>20612</v>
      </c>
      <c r="R66" s="10">
        <f t="shared" si="23"/>
        <v>42520772</v>
      </c>
      <c r="S66" s="2">
        <f xml:space="preserve"> (1-(Q66/Q59))*100</f>
        <v>97.204356494730703</v>
      </c>
      <c r="T66" s="2" t="s">
        <v>13</v>
      </c>
      <c r="U66" s="2" t="s">
        <v>12</v>
      </c>
      <c r="V66" s="2" t="s">
        <v>15</v>
      </c>
      <c r="W66" s="2" t="s">
        <v>17</v>
      </c>
    </row>
    <row r="67" spans="6:23" ht="22.5" thickTop="1" thickBot="1" x14ac:dyDescent="0.4">
      <c r="F67" s="15"/>
      <c r="G67" s="21">
        <v>1</v>
      </c>
      <c r="H67" s="5" t="s">
        <v>83</v>
      </c>
      <c r="I67" s="2" t="str">
        <f t="shared" si="20"/>
        <v>Resnet101</v>
      </c>
      <c r="J67" s="2" t="str">
        <f t="shared" si="21"/>
        <v>CIFAR10</v>
      </c>
      <c r="K67" s="2" t="str">
        <f t="shared" si="22"/>
        <v>(3,192,192)</v>
      </c>
      <c r="L67" s="2">
        <v>10</v>
      </c>
      <c r="M67" s="2" t="str">
        <f t="shared" si="24"/>
        <v>Reshape+TRL</v>
      </c>
      <c r="N67" s="2" t="str">
        <f>"trl:: (4,1,1,20,1,1,10)"</f>
        <v>trl:: (4,1,1,20,1,1,10)</v>
      </c>
      <c r="O67" s="2" t="str">
        <f xml:space="preserve"> "(16,2,2)-type1"</f>
        <v>(16,2,2)-type1</v>
      </c>
      <c r="P67" s="2" t="str">
        <f>"(2048,6,6) --&gt; (16,2,2,128,3,3) --&gt; (10)"</f>
        <v>(2048,6,6) --&gt; (16,2,2,128,3,3) --&gt; (10)</v>
      </c>
      <c r="Q67" s="10">
        <f>3534</f>
        <v>3534</v>
      </c>
      <c r="R67" s="10">
        <f t="shared" si="23"/>
        <v>42503694</v>
      </c>
      <c r="S67" s="2">
        <f xml:space="preserve"> (1-(Q67/Q59))*100</f>
        <v>99.52067707414993</v>
      </c>
      <c r="T67" s="2" t="s">
        <v>13</v>
      </c>
      <c r="U67" s="2" t="s">
        <v>12</v>
      </c>
      <c r="V67" s="2" t="s">
        <v>15</v>
      </c>
      <c r="W67" s="2" t="s">
        <v>17</v>
      </c>
    </row>
    <row r="68" spans="6:23" ht="22.5" thickTop="1" thickBot="1" x14ac:dyDescent="0.4">
      <c r="F68" s="15"/>
      <c r="G68" s="21">
        <v>1</v>
      </c>
      <c r="H68" s="5" t="s">
        <v>84</v>
      </c>
      <c r="I68" s="2" t="str">
        <f t="shared" si="20"/>
        <v>Resnet101</v>
      </c>
      <c r="J68" s="2" t="str">
        <f t="shared" si="21"/>
        <v>CIFAR10</v>
      </c>
      <c r="K68" s="2" t="str">
        <f t="shared" si="22"/>
        <v>(3,192,192)</v>
      </c>
      <c r="L68" s="2">
        <v>10</v>
      </c>
      <c r="M68" s="2" t="str">
        <f t="shared" si="24"/>
        <v>Reshape+TRL</v>
      </c>
      <c r="N68" s="2" t="str">
        <f>"trl:: (4,1,1,20,1,1,10)"</f>
        <v>trl:: (4,1,1,20,1,1,10)</v>
      </c>
      <c r="O68" s="2" t="str">
        <f xml:space="preserve"> "(16,2,2)-type2"</f>
        <v>(16,2,2)-type2</v>
      </c>
      <c r="P68" s="2" t="str">
        <f>"(2048,6,6) --&gt; (16,2,2,128,3,3) --&gt; (10)"</f>
        <v>(2048,6,6) --&gt; (16,2,2,128,3,3) --&gt; (10)</v>
      </c>
      <c r="Q68" s="10">
        <f>3534</f>
        <v>3534</v>
      </c>
      <c r="R68" s="10">
        <f t="shared" si="23"/>
        <v>42503694</v>
      </c>
      <c r="S68" s="2">
        <f xml:space="preserve"> (1-(Q68/Q59))*100</f>
        <v>99.52067707414993</v>
      </c>
      <c r="T68" s="2" t="s">
        <v>13</v>
      </c>
      <c r="U68" s="2" t="s">
        <v>12</v>
      </c>
      <c r="V68" s="2" t="s">
        <v>15</v>
      </c>
      <c r="W68" s="2" t="s">
        <v>17</v>
      </c>
    </row>
    <row r="69" spans="6:23" ht="22.5" thickTop="1" thickBot="1" x14ac:dyDescent="0.4">
      <c r="F69" s="15"/>
      <c r="G69" s="21">
        <v>1</v>
      </c>
      <c r="H69" s="5" t="s">
        <v>85</v>
      </c>
      <c r="I69" s="2" t="str">
        <f t="shared" si="20"/>
        <v>Resnet101</v>
      </c>
      <c r="J69" s="2" t="str">
        <f t="shared" si="21"/>
        <v>CIFAR10</v>
      </c>
      <c r="K69" s="2" t="str">
        <f t="shared" si="22"/>
        <v>(3,192,192)</v>
      </c>
      <c r="L69" s="2">
        <v>10</v>
      </c>
      <c r="M69" s="2" t="str">
        <f t="shared" si="24"/>
        <v>Reshape+TRL</v>
      </c>
      <c r="N69" s="2" t="str">
        <f>"trl:: (4,1,1,10,1,1,4)"</f>
        <v>trl:: (4,1,1,10,1,1,4)</v>
      </c>
      <c r="O69" s="2" t="str">
        <f xml:space="preserve"> "(16,2,2)-type1"</f>
        <v>(16,2,2)-type1</v>
      </c>
      <c r="P69" s="2" t="str">
        <f>"(2048,6,6) --&gt; (16,2,2,128,3,3) --&gt; (10)"</f>
        <v>(2048,6,6) --&gt; (16,2,2,128,3,3) --&gt; (10)</v>
      </c>
      <c r="Q69" s="10">
        <f>1386</f>
        <v>1386</v>
      </c>
      <c r="R69" s="10">
        <f t="shared" si="23"/>
        <v>42501546</v>
      </c>
      <c r="S69" s="2">
        <f xml:space="preserve"> (1-(Q69/Q59))*100</f>
        <v>99.812014268469667</v>
      </c>
      <c r="T69" s="2" t="s">
        <v>13</v>
      </c>
      <c r="U69" s="2" t="s">
        <v>12</v>
      </c>
      <c r="V69" s="2" t="s">
        <v>15</v>
      </c>
      <c r="W69" s="2" t="s">
        <v>17</v>
      </c>
    </row>
    <row r="70" spans="6:23" ht="22.5" thickTop="1" thickBot="1" x14ac:dyDescent="0.4">
      <c r="F70" s="15"/>
      <c r="G70" s="21">
        <v>1</v>
      </c>
      <c r="H70" s="5" t="s">
        <v>86</v>
      </c>
      <c r="I70" s="7" t="str">
        <f t="shared" si="20"/>
        <v>Resnet101</v>
      </c>
      <c r="J70" s="7" t="str">
        <f t="shared" si="21"/>
        <v>CIFAR10</v>
      </c>
      <c r="K70" s="7" t="str">
        <f t="shared" si="22"/>
        <v>(3,192,192)</v>
      </c>
      <c r="L70" s="7">
        <v>10</v>
      </c>
      <c r="M70" s="7" t="str">
        <f t="shared" si="24"/>
        <v>Reshape+TRL</v>
      </c>
      <c r="N70" s="7" t="str">
        <f>"trl:: (4,1,1,10,1,1,4)"</f>
        <v>trl:: (4,1,1,10,1,1,4)</v>
      </c>
      <c r="O70" s="7" t="str">
        <f xml:space="preserve"> "(16,2,2)-type2"</f>
        <v>(16,2,2)-type2</v>
      </c>
      <c r="P70" s="7" t="str">
        <f>"(2048,6,6) --&gt; (16,2,2,128,3,3) --&gt; (10)"</f>
        <v>(2048,6,6) --&gt; (16,2,2,128,3,3) --&gt; (10)</v>
      </c>
      <c r="Q70" s="22">
        <f>1386</f>
        <v>1386</v>
      </c>
      <c r="R70" s="22">
        <f t="shared" si="23"/>
        <v>42501546</v>
      </c>
      <c r="S70" s="7">
        <f xml:space="preserve"> (1-(Q70/Q59))*100</f>
        <v>99.812014268469667</v>
      </c>
      <c r="T70" s="7" t="s">
        <v>13</v>
      </c>
      <c r="U70" s="7" t="s">
        <v>12</v>
      </c>
      <c r="V70" s="7" t="s">
        <v>15</v>
      </c>
      <c r="W70" s="7" t="s">
        <v>17</v>
      </c>
    </row>
    <row r="71" spans="6:23" ht="22.5" thickTop="1" thickBot="1" x14ac:dyDescent="0.4">
      <c r="F71" s="7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spans="6:23" ht="22.5" thickTop="1" thickBot="1" x14ac:dyDescent="0.4">
      <c r="F72" s="15"/>
      <c r="G72" s="21">
        <v>1</v>
      </c>
      <c r="H72" s="5" t="s">
        <v>87</v>
      </c>
      <c r="I72" s="2" t="str">
        <f t="shared" ref="I72:I83" si="25" xml:space="preserve"> "Resnet101"</f>
        <v>Resnet101</v>
      </c>
      <c r="J72" s="2" t="str">
        <f t="shared" ref="J72:J83" si="26" xml:space="preserve"> "TINY"</f>
        <v>TINY</v>
      </c>
      <c r="K72" s="2" t="str">
        <f t="shared" ref="K72:K83" si="27" xml:space="preserve"> "(3,192,192)"</f>
        <v>(3,192,192)</v>
      </c>
      <c r="L72" s="2">
        <v>200</v>
      </c>
      <c r="M72" s="2" t="str">
        <f xml:space="preserve"> "Linear"</f>
        <v>Linear</v>
      </c>
      <c r="N72" s="2" t="s">
        <v>9</v>
      </c>
      <c r="O72" s="2" t="b">
        <f xml:space="preserve"> FALSE</f>
        <v>0</v>
      </c>
      <c r="P72" s="2" t="str">
        <f>"(2048,6,6) --&gt; (200)"</f>
        <v>(2048,6,6) --&gt; (200)</v>
      </c>
      <c r="Q72" s="10">
        <f>14745800</f>
        <v>14745800</v>
      </c>
      <c r="R72" s="10">
        <f>57245960</f>
        <v>57245960</v>
      </c>
      <c r="S72" s="2" t="s">
        <v>18</v>
      </c>
      <c r="T72" s="2" t="s">
        <v>13</v>
      </c>
      <c r="U72" s="2" t="s">
        <v>12</v>
      </c>
      <c r="V72" s="2" t="s">
        <v>15</v>
      </c>
      <c r="W72" s="2" t="s">
        <v>17</v>
      </c>
    </row>
    <row r="73" spans="6:23" ht="22.5" thickTop="1" thickBot="1" x14ac:dyDescent="0.4">
      <c r="F73" s="15"/>
      <c r="G73" s="21">
        <v>1</v>
      </c>
      <c r="H73" s="5" t="s">
        <v>88</v>
      </c>
      <c r="I73" s="2" t="str">
        <f t="shared" si="25"/>
        <v>Resnet101</v>
      </c>
      <c r="J73" s="2" t="str">
        <f t="shared" si="26"/>
        <v>TINY</v>
      </c>
      <c r="K73" s="2" t="str">
        <f t="shared" si="27"/>
        <v>(3,192,192)</v>
      </c>
      <c r="L73" s="2">
        <v>200</v>
      </c>
      <c r="M73" s="2" t="str">
        <f xml:space="preserve"> "TRL"</f>
        <v>TRL</v>
      </c>
      <c r="N73" s="2" t="str">
        <f>"trl:: (1024,3,3,200)"</f>
        <v>trl:: (1024,3,3,200)</v>
      </c>
      <c r="O73" s="2" t="b">
        <f xml:space="preserve"> FALSE</f>
        <v>0</v>
      </c>
      <c r="P73" s="2" t="str">
        <f>"(2048,6,6) --&gt; (200)"</f>
        <v>(2048,6,6) --&gt; (200)</v>
      </c>
      <c r="Q73" s="10">
        <f>3980388</f>
        <v>3980388</v>
      </c>
      <c r="R73" s="10">
        <f t="shared" ref="R73:R83" si="28" xml:space="preserve"> R72 - Q72 + Q73</f>
        <v>46480548</v>
      </c>
      <c r="S73" s="2">
        <f xml:space="preserve"> (1-(Q73/Q72))*100</f>
        <v>73.006632397021519</v>
      </c>
      <c r="T73" s="2" t="s">
        <v>13</v>
      </c>
      <c r="U73" s="2" t="s">
        <v>12</v>
      </c>
      <c r="V73" s="2" t="s">
        <v>15</v>
      </c>
      <c r="W73" s="2" t="s">
        <v>17</v>
      </c>
    </row>
    <row r="74" spans="6:23" ht="22.5" thickTop="1" thickBot="1" x14ac:dyDescent="0.4">
      <c r="F74" s="15"/>
      <c r="G74" s="21">
        <v>1</v>
      </c>
      <c r="H74" s="5" t="s">
        <v>89</v>
      </c>
      <c r="I74" s="2" t="str">
        <f t="shared" si="25"/>
        <v>Resnet101</v>
      </c>
      <c r="J74" s="2" t="str">
        <f t="shared" si="26"/>
        <v>TINY</v>
      </c>
      <c r="K74" s="2" t="str">
        <f t="shared" si="27"/>
        <v>(3,192,192)</v>
      </c>
      <c r="L74" s="2">
        <v>200</v>
      </c>
      <c r="M74" s="2" t="str">
        <f xml:space="preserve"> "TRL"</f>
        <v>TRL</v>
      </c>
      <c r="N74" s="2" t="str">
        <f>"trl:: (600,3,3,200)"</f>
        <v>trl:: (600,3,3,200)</v>
      </c>
      <c r="O74" s="2" t="b">
        <f xml:space="preserve"> FALSE</f>
        <v>0</v>
      </c>
      <c r="P74" s="2" t="str">
        <f>"(2048,6,6) --&gt; (200)"</f>
        <v>(2048,6,6) --&gt; (200)</v>
      </c>
      <c r="Q74" s="10">
        <f>2348836</f>
        <v>2348836</v>
      </c>
      <c r="R74" s="10">
        <f t="shared" si="28"/>
        <v>44848996</v>
      </c>
      <c r="S74" s="2">
        <f xml:space="preserve"> (1-(Q74/Q72))*100</f>
        <v>84.071152463752384</v>
      </c>
      <c r="T74" s="2" t="s">
        <v>13</v>
      </c>
      <c r="U74" s="2" t="s">
        <v>12</v>
      </c>
      <c r="V74" s="2" t="s">
        <v>15</v>
      </c>
      <c r="W74" s="2" t="s">
        <v>17</v>
      </c>
    </row>
    <row r="75" spans="6:23" ht="22.5" thickTop="1" thickBot="1" x14ac:dyDescent="0.4">
      <c r="F75" s="15"/>
      <c r="G75" s="21">
        <v>1</v>
      </c>
      <c r="H75" s="5" t="s">
        <v>90</v>
      </c>
      <c r="I75" s="2" t="str">
        <f t="shared" si="25"/>
        <v>Resnet101</v>
      </c>
      <c r="J75" s="2" t="str">
        <f t="shared" si="26"/>
        <v>TINY</v>
      </c>
      <c r="K75" s="2" t="str">
        <f t="shared" si="27"/>
        <v>(3,192,192)</v>
      </c>
      <c r="L75" s="2">
        <v>200</v>
      </c>
      <c r="M75" s="2" t="str">
        <f xml:space="preserve"> "TRL"</f>
        <v>TRL</v>
      </c>
      <c r="N75" s="2" t="str">
        <f>"trl:: (500,3,3,150)"</f>
        <v>trl:: (500,3,3,150)</v>
      </c>
      <c r="O75" s="2" t="b">
        <f xml:space="preserve"> FALSE</f>
        <v>0</v>
      </c>
      <c r="P75" s="2" t="str">
        <f>"(2048,6,6) --&gt; (200)"</f>
        <v>(2048,6,6) --&gt; (200)</v>
      </c>
      <c r="Q75" s="10">
        <f>1729036</f>
        <v>1729036</v>
      </c>
      <c r="R75" s="10">
        <f t="shared" si="28"/>
        <v>44229196</v>
      </c>
      <c r="S75" s="2">
        <f xml:space="preserve"> (1-(Q75/Q72))*100</f>
        <v>88.274383214203368</v>
      </c>
      <c r="T75" s="2" t="s">
        <v>13</v>
      </c>
      <c r="U75" s="2" t="s">
        <v>12</v>
      </c>
      <c r="V75" s="2" t="s">
        <v>15</v>
      </c>
      <c r="W75" s="2" t="s">
        <v>17</v>
      </c>
    </row>
    <row r="76" spans="6:23" ht="22.5" thickTop="1" thickBot="1" x14ac:dyDescent="0.4">
      <c r="F76" s="15"/>
      <c r="G76" s="21">
        <v>1</v>
      </c>
      <c r="H76" s="5" t="s">
        <v>91</v>
      </c>
      <c r="I76" s="2" t="str">
        <f t="shared" si="25"/>
        <v>Resnet101</v>
      </c>
      <c r="J76" s="2" t="str">
        <f t="shared" si="26"/>
        <v>TINY</v>
      </c>
      <c r="K76" s="2" t="str">
        <f t="shared" si="27"/>
        <v>(3,192,192)</v>
      </c>
      <c r="L76" s="2">
        <v>200</v>
      </c>
      <c r="M76" s="2" t="str">
        <f t="shared" ref="M76:M83" si="29">"Reshape+TRL"</f>
        <v>Reshape+TRL</v>
      </c>
      <c r="N76" s="2" t="str">
        <f>"trl:: (1,1,1,500,1,1,200)"</f>
        <v>trl:: (1,1,1,500,1,1,200)</v>
      </c>
      <c r="O76" s="2" t="str">
        <f xml:space="preserve"> "(2,2,2)-type1"</f>
        <v>(2,2,2)-type1</v>
      </c>
      <c r="P76" s="2" t="str">
        <f>"(2048,6,6) --&gt; (2,2,2,1024,3,3) --&gt; (200)"</f>
        <v>(2048,6,6) --&gt; (2,2,2,1024,3,3) --&gt; (200)</v>
      </c>
      <c r="Q76" s="10">
        <f>652012</f>
        <v>652012</v>
      </c>
      <c r="R76" s="10">
        <f t="shared" si="28"/>
        <v>43152172</v>
      </c>
      <c r="S76" s="2">
        <f xml:space="preserve"> (1-(Q76/Q72))*100</f>
        <v>95.578320606545603</v>
      </c>
      <c r="T76" s="2" t="s">
        <v>13</v>
      </c>
      <c r="U76" s="2" t="s">
        <v>12</v>
      </c>
      <c r="V76" s="2" t="s">
        <v>15</v>
      </c>
      <c r="W76" s="2" t="s">
        <v>17</v>
      </c>
    </row>
    <row r="77" spans="6:23" ht="22.5" thickTop="1" thickBot="1" x14ac:dyDescent="0.4">
      <c r="F77" s="15"/>
      <c r="G77" s="21">
        <v>1</v>
      </c>
      <c r="H77" s="5" t="s">
        <v>92</v>
      </c>
      <c r="I77" s="2" t="str">
        <f t="shared" si="25"/>
        <v>Resnet101</v>
      </c>
      <c r="J77" s="2" t="str">
        <f t="shared" si="26"/>
        <v>TINY</v>
      </c>
      <c r="K77" s="2" t="str">
        <f t="shared" si="27"/>
        <v>(3,192,192)</v>
      </c>
      <c r="L77" s="2">
        <v>200</v>
      </c>
      <c r="M77" s="2" t="str">
        <f t="shared" si="29"/>
        <v>Reshape+TRL</v>
      </c>
      <c r="N77" s="2" t="str">
        <f>"trl:: (1,1,1,500,1,1,200)"</f>
        <v>trl:: (1,1,1,500,1,1,200)</v>
      </c>
      <c r="O77" s="2" t="str">
        <f xml:space="preserve"> "(2,2,2)-type2"</f>
        <v>(2,2,2)-type2</v>
      </c>
      <c r="P77" s="2" t="str">
        <f>"(2048,6,6) --&gt; (2,2,2,1024,3,3) --&gt; (200)"</f>
        <v>(2048,6,6) --&gt; (2,2,2,1024,3,3) --&gt; (200)</v>
      </c>
      <c r="Q77" s="10">
        <f>652012</f>
        <v>652012</v>
      </c>
      <c r="R77" s="10">
        <f t="shared" si="28"/>
        <v>43152172</v>
      </c>
      <c r="S77" s="2">
        <f xml:space="preserve"> (1-(Q77/Q72))*100</f>
        <v>95.578320606545603</v>
      </c>
      <c r="T77" s="2" t="s">
        <v>13</v>
      </c>
      <c r="U77" s="2" t="s">
        <v>12</v>
      </c>
      <c r="V77" s="2" t="s">
        <v>15</v>
      </c>
      <c r="W77" s="2" t="s">
        <v>17</v>
      </c>
    </row>
    <row r="78" spans="6:23" ht="22.5" thickTop="1" thickBot="1" x14ac:dyDescent="0.4">
      <c r="F78" s="15"/>
      <c r="G78" s="21">
        <v>1</v>
      </c>
      <c r="H78" s="5" t="s">
        <v>93</v>
      </c>
      <c r="I78" s="2" t="str">
        <f t="shared" si="25"/>
        <v>Resnet101</v>
      </c>
      <c r="J78" s="2" t="str">
        <f t="shared" si="26"/>
        <v>TINY</v>
      </c>
      <c r="K78" s="2" t="str">
        <f t="shared" si="27"/>
        <v>(3,192,192)</v>
      </c>
      <c r="L78" s="2">
        <v>200</v>
      </c>
      <c r="M78" s="2" t="str">
        <f t="shared" si="29"/>
        <v>Reshape+TRL</v>
      </c>
      <c r="N78" s="2" t="str">
        <f>"trl:: (1,1,1,100,1,1,100)"</f>
        <v>trl:: (1,1,1,100,1,1,100)</v>
      </c>
      <c r="O78" s="2" t="str">
        <f xml:space="preserve"> "(2,2,2)-type1"</f>
        <v>(2,2,2)-type1</v>
      </c>
      <c r="P78" s="2" t="str">
        <f>"(2048,6,6) --&gt; (2,2,2,1024,3,3) --&gt; (200)"</f>
        <v>(2048,6,6) --&gt; (2,2,2,1024,3,3) --&gt; (200)</v>
      </c>
      <c r="Q78" s="10">
        <f>132412</f>
        <v>132412</v>
      </c>
      <c r="R78" s="10">
        <f t="shared" si="28"/>
        <v>42632572</v>
      </c>
      <c r="S78" s="2">
        <f xml:space="preserve"> (1-(Q78/Q72))*100</f>
        <v>99.102035833932376</v>
      </c>
      <c r="T78" s="2" t="s">
        <v>13</v>
      </c>
      <c r="U78" s="2" t="s">
        <v>12</v>
      </c>
      <c r="V78" s="2" t="s">
        <v>15</v>
      </c>
      <c r="W78" s="2" t="s">
        <v>17</v>
      </c>
    </row>
    <row r="79" spans="6:23" ht="22.5" thickTop="1" thickBot="1" x14ac:dyDescent="0.4">
      <c r="F79" s="15"/>
      <c r="G79" s="21">
        <v>1</v>
      </c>
      <c r="H79" s="5" t="s">
        <v>94</v>
      </c>
      <c r="I79" s="2" t="str">
        <f t="shared" si="25"/>
        <v>Resnet101</v>
      </c>
      <c r="J79" s="2" t="str">
        <f t="shared" si="26"/>
        <v>TINY</v>
      </c>
      <c r="K79" s="2" t="str">
        <f t="shared" si="27"/>
        <v>(3,192,192)</v>
      </c>
      <c r="L79" s="2">
        <v>200</v>
      </c>
      <c r="M79" s="2" t="str">
        <f t="shared" si="29"/>
        <v>Reshape+TRL</v>
      </c>
      <c r="N79" s="2" t="str">
        <f>"trl:: (1,1,1,100,1,1,100)"</f>
        <v>trl:: (1,1,1,100,1,1,100)</v>
      </c>
      <c r="O79" s="2" t="str">
        <f xml:space="preserve"> "(2,2,2)-type2"</f>
        <v>(2,2,2)-type2</v>
      </c>
      <c r="P79" s="2" t="str">
        <f>"(2048,6,6) --&gt; (2,2,2,1024,3,3) --&gt; (200)"</f>
        <v>(2048,6,6) --&gt; (2,2,2,1024,3,3) --&gt; (200)</v>
      </c>
      <c r="Q79" s="10">
        <f>132412</f>
        <v>132412</v>
      </c>
      <c r="R79" s="10">
        <f t="shared" si="28"/>
        <v>42632572</v>
      </c>
      <c r="S79" s="2">
        <f xml:space="preserve"> (1-(Q79/Q72))*100</f>
        <v>99.102035833932376</v>
      </c>
      <c r="T79" s="2" t="s">
        <v>13</v>
      </c>
      <c r="U79" s="2" t="s">
        <v>12</v>
      </c>
      <c r="V79" s="2" t="s">
        <v>15</v>
      </c>
      <c r="W79" s="2" t="s">
        <v>17</v>
      </c>
    </row>
    <row r="80" spans="6:23" ht="22.5" thickTop="1" thickBot="1" x14ac:dyDescent="0.4">
      <c r="F80" s="15"/>
      <c r="G80" s="21">
        <v>1</v>
      </c>
      <c r="H80" s="5" t="s">
        <v>95</v>
      </c>
      <c r="I80" s="2" t="str">
        <f t="shared" si="25"/>
        <v>Resnet101</v>
      </c>
      <c r="J80" s="2" t="str">
        <f t="shared" si="26"/>
        <v>TINY</v>
      </c>
      <c r="K80" s="2" t="str">
        <f t="shared" si="27"/>
        <v>(3,192,192)</v>
      </c>
      <c r="L80" s="2">
        <v>200</v>
      </c>
      <c r="M80" s="2" t="str">
        <f t="shared" si="29"/>
        <v>Reshape+TRL</v>
      </c>
      <c r="N80" s="2" t="str">
        <f>"trl:: (4,1,1,100,1,1,200)"</f>
        <v>trl:: (4,1,1,100,1,1,200)</v>
      </c>
      <c r="O80" s="2" t="str">
        <f xml:space="preserve"> "(16,2,2)-type1"</f>
        <v>(16,2,2)-type1</v>
      </c>
      <c r="P80" s="2" t="str">
        <f>"(2048,6,6) --&gt; (16,2,2,128,3,3) --&gt; (200)"</f>
        <v>(2048,6,6) --&gt; (16,2,2,128,3,3) --&gt; (200)</v>
      </c>
      <c r="Q80" s="10">
        <f>222474</f>
        <v>222474</v>
      </c>
      <c r="R80" s="10">
        <f t="shared" si="28"/>
        <v>42722634</v>
      </c>
      <c r="S80" s="2">
        <f xml:space="preserve"> (1-(Q80/Q72))*100</f>
        <v>98.491272091036095</v>
      </c>
      <c r="T80" s="2" t="s">
        <v>13</v>
      </c>
      <c r="U80" s="2" t="s">
        <v>12</v>
      </c>
      <c r="V80" s="2" t="s">
        <v>15</v>
      </c>
      <c r="W80" s="2" t="s">
        <v>17</v>
      </c>
    </row>
    <row r="81" spans="6:23" ht="22.5" thickTop="1" thickBot="1" x14ac:dyDescent="0.4">
      <c r="F81" s="15"/>
      <c r="G81" s="21">
        <v>1</v>
      </c>
      <c r="H81" s="5" t="s">
        <v>96</v>
      </c>
      <c r="I81" s="2" t="str">
        <f t="shared" si="25"/>
        <v>Resnet101</v>
      </c>
      <c r="J81" s="2" t="str">
        <f t="shared" si="26"/>
        <v>TINY</v>
      </c>
      <c r="K81" s="2" t="str">
        <f t="shared" si="27"/>
        <v>(3,192,192)</v>
      </c>
      <c r="L81" s="2">
        <v>200</v>
      </c>
      <c r="M81" s="2" t="str">
        <f t="shared" si="29"/>
        <v>Reshape+TRL</v>
      </c>
      <c r="N81" s="2" t="str">
        <f>"trl:: (4,1,1,100,1,1,200)"</f>
        <v>trl:: (4,1,1,100,1,1,200)</v>
      </c>
      <c r="O81" s="2" t="str">
        <f xml:space="preserve"> "(16,2,2)-type2"</f>
        <v>(16,2,2)-type2</v>
      </c>
      <c r="P81" s="2" t="str">
        <f>"(2048,6,6) --&gt; (16,2,2,128,3,3) --&gt; (200)"</f>
        <v>(2048,6,6) --&gt; (16,2,2,128,3,3) --&gt; (200)</v>
      </c>
      <c r="Q81" s="10">
        <f>222474</f>
        <v>222474</v>
      </c>
      <c r="R81" s="10">
        <f t="shared" si="28"/>
        <v>42722634</v>
      </c>
      <c r="S81" s="2">
        <f xml:space="preserve"> (1-(Q81/Q72))*100</f>
        <v>98.491272091036095</v>
      </c>
      <c r="T81" s="2" t="s">
        <v>13</v>
      </c>
      <c r="U81" s="2" t="s">
        <v>12</v>
      </c>
      <c r="V81" s="2" t="s">
        <v>15</v>
      </c>
      <c r="W81" s="2" t="s">
        <v>17</v>
      </c>
    </row>
    <row r="82" spans="6:23" ht="22.5" thickTop="1" thickBot="1" x14ac:dyDescent="0.4">
      <c r="F82" s="15"/>
      <c r="G82" s="21">
        <v>1</v>
      </c>
      <c r="H82" s="5" t="s">
        <v>97</v>
      </c>
      <c r="I82" s="2" t="str">
        <f t="shared" si="25"/>
        <v>Resnet101</v>
      </c>
      <c r="J82" s="2" t="str">
        <f t="shared" si="26"/>
        <v>TINY</v>
      </c>
      <c r="K82" s="2" t="str">
        <f t="shared" si="27"/>
        <v>(3,192,192)</v>
      </c>
      <c r="L82" s="2">
        <v>200</v>
      </c>
      <c r="M82" s="2" t="str">
        <f t="shared" si="29"/>
        <v>Reshape+TRL</v>
      </c>
      <c r="N82" s="2" t="str">
        <f>"trl:: (4,1,1,50,1,1,100)"</f>
        <v>trl:: (4,1,1,50,1,1,100)</v>
      </c>
      <c r="O82" s="2" t="str">
        <f xml:space="preserve"> "(16,2,2)-type1"</f>
        <v>(16,2,2)-type1</v>
      </c>
      <c r="P82" s="2" t="str">
        <f>"(2048,6,6) --&gt; (16,2,2,128,3,3) --&gt; (200)"</f>
        <v>(2048,6,6) --&gt; (16,2,2,128,3,3) --&gt; (200)</v>
      </c>
      <c r="Q82" s="10">
        <f>91274</f>
        <v>91274</v>
      </c>
      <c r="R82" s="10">
        <f t="shared" si="28"/>
        <v>42591434</v>
      </c>
      <c r="S82" s="2">
        <f xml:space="preserve"> (1-(Q82/Q72))*100</f>
        <v>99.381016967543303</v>
      </c>
      <c r="T82" s="2" t="s">
        <v>13</v>
      </c>
      <c r="U82" s="2" t="s">
        <v>12</v>
      </c>
      <c r="V82" s="2" t="s">
        <v>15</v>
      </c>
      <c r="W82" s="2" t="s">
        <v>17</v>
      </c>
    </row>
    <row r="83" spans="6:23" ht="22.5" thickTop="1" thickBot="1" x14ac:dyDescent="0.4">
      <c r="F83" s="15"/>
      <c r="G83" s="21">
        <v>1</v>
      </c>
      <c r="H83" s="5" t="s">
        <v>98</v>
      </c>
      <c r="I83" s="7" t="str">
        <f t="shared" si="25"/>
        <v>Resnet101</v>
      </c>
      <c r="J83" s="7" t="str">
        <f t="shared" si="26"/>
        <v>TINY</v>
      </c>
      <c r="K83" s="7" t="str">
        <f t="shared" si="27"/>
        <v>(3,192,192)</v>
      </c>
      <c r="L83" s="7">
        <v>200</v>
      </c>
      <c r="M83" s="7" t="str">
        <f t="shared" si="29"/>
        <v>Reshape+TRL</v>
      </c>
      <c r="N83" s="7" t="str">
        <f>"trl:: (4,1,1,50,1,1,100)"</f>
        <v>trl:: (4,1,1,50,1,1,100)</v>
      </c>
      <c r="O83" s="7" t="str">
        <f xml:space="preserve"> "(16,2,2)-type2"</f>
        <v>(16,2,2)-type2</v>
      </c>
      <c r="P83" s="7" t="str">
        <f>"(2048,6,6) --&gt; (16,2,2,128,3,3) --&gt; (200)"</f>
        <v>(2048,6,6) --&gt; (16,2,2,128,3,3) --&gt; (200)</v>
      </c>
      <c r="Q83" s="22">
        <f>91274</f>
        <v>91274</v>
      </c>
      <c r="R83" s="22">
        <f t="shared" si="28"/>
        <v>42591434</v>
      </c>
      <c r="S83" s="7">
        <f xml:space="preserve"> (1-(Q83/Q72))*100</f>
        <v>99.381016967543303</v>
      </c>
      <c r="T83" s="7" t="s">
        <v>13</v>
      </c>
      <c r="U83" s="7" t="s">
        <v>12</v>
      </c>
      <c r="V83" s="7" t="s">
        <v>15</v>
      </c>
      <c r="W83" s="7" t="s">
        <v>17</v>
      </c>
    </row>
    <row r="84" spans="6:23" ht="22.5" thickTop="1" thickBot="1" x14ac:dyDescent="0.4">
      <c r="F84" s="7"/>
      <c r="G84" s="1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spans="6:23" ht="22.5" thickTop="1" thickBot="1" x14ac:dyDescent="0.4">
      <c r="F85" s="15"/>
      <c r="G85" s="20">
        <v>1</v>
      </c>
      <c r="H85" s="5" t="s">
        <v>99</v>
      </c>
      <c r="I85" s="2" t="str">
        <f xml:space="preserve"> "CNN"</f>
        <v>CNN</v>
      </c>
      <c r="J85" s="2" t="str">
        <f t="shared" ref="J85:J90" si="30" xml:space="preserve"> "MNIST"</f>
        <v>MNIST</v>
      </c>
      <c r="K85" s="2" t="str">
        <f t="shared" ref="K85:K125" si="31" xml:space="preserve"> "(3,192,192)"</f>
        <v>(3,192,192)</v>
      </c>
      <c r="L85" s="2">
        <v>10</v>
      </c>
      <c r="M85" s="2" t="str">
        <f xml:space="preserve"> "Linear"</f>
        <v>Linear</v>
      </c>
      <c r="N85" s="2" t="s">
        <v>9</v>
      </c>
      <c r="O85" s="2" t="b">
        <f xml:space="preserve"> FALSE</f>
        <v>0</v>
      </c>
      <c r="P85" s="2" t="str">
        <f>"(128,6,6) --&gt; (1024) --&gt; (10)"</f>
        <v>(128,6,6) --&gt; (1024) --&gt; (10)</v>
      </c>
      <c r="Q85" s="10">
        <f>4729866</f>
        <v>4729866</v>
      </c>
      <c r="R85" s="10">
        <f>4823562</f>
        <v>4823562</v>
      </c>
      <c r="S85" s="2" t="s">
        <v>18</v>
      </c>
      <c r="T85" s="2" t="s">
        <v>143</v>
      </c>
      <c r="U85" s="2" t="s">
        <v>142</v>
      </c>
      <c r="V85" s="2" t="s">
        <v>15</v>
      </c>
      <c r="W85" s="2" t="s">
        <v>17</v>
      </c>
    </row>
    <row r="86" spans="6:23" ht="22.5" thickTop="1" thickBot="1" x14ac:dyDescent="0.4">
      <c r="F86" s="15"/>
      <c r="G86" s="20">
        <v>1</v>
      </c>
      <c r="H86" s="5" t="s">
        <v>100</v>
      </c>
      <c r="I86" s="2" t="str">
        <f t="shared" ref="I86:I90" si="32" xml:space="preserve"> "CNN"</f>
        <v>CNN</v>
      </c>
      <c r="J86" s="2" t="str">
        <f t="shared" si="30"/>
        <v>MNIST</v>
      </c>
      <c r="K86" s="2" t="str">
        <f t="shared" si="31"/>
        <v>(3,192,192)</v>
      </c>
      <c r="L86" s="2">
        <v>10</v>
      </c>
      <c r="M86" s="2" t="str">
        <f xml:space="preserve"> "TCL + TRL"</f>
        <v>TCL + TRL</v>
      </c>
      <c r="N86" s="2" t="str">
        <f>"tcl:: (100,4,4), trl:: (70,2,2,10)"</f>
        <v>tcl:: (100,4,4), trl:: (70,2,2,10)</v>
      </c>
      <c r="O86" s="2" t="b">
        <f xml:space="preserve"> FALSE</f>
        <v>0</v>
      </c>
      <c r="P86" s="2" t="str">
        <f>"(128,6,6) --&gt; (100,4,4) --&gt; (10)"</f>
        <v>(128,6,6) --&gt; (100,4,4) --&gt; (10)</v>
      </c>
      <c r="Q86" s="10">
        <f>12848 + 9916</f>
        <v>22764</v>
      </c>
      <c r="R86" s="10">
        <f xml:space="preserve"> R85 - Q85 + Q86</f>
        <v>116460</v>
      </c>
      <c r="S86" s="2">
        <f xml:space="preserve"> (1-(Q86/Q85))*100</f>
        <v>99.518717866425817</v>
      </c>
      <c r="T86" s="2" t="s">
        <v>13</v>
      </c>
      <c r="U86" s="2" t="s">
        <v>144</v>
      </c>
      <c r="V86" s="2" t="s">
        <v>15</v>
      </c>
      <c r="W86" s="2" t="s">
        <v>17</v>
      </c>
    </row>
    <row r="87" spans="6:23" ht="22.5" thickTop="1" thickBot="1" x14ac:dyDescent="0.4">
      <c r="F87" s="15"/>
      <c r="G87" s="20">
        <v>1</v>
      </c>
      <c r="H87" s="5" t="s">
        <v>101</v>
      </c>
      <c r="I87" s="2" t="str">
        <f t="shared" si="32"/>
        <v>CNN</v>
      </c>
      <c r="J87" s="2" t="str">
        <f t="shared" si="30"/>
        <v>MNIST</v>
      </c>
      <c r="K87" s="2" t="str">
        <f t="shared" si="31"/>
        <v>(3,192,192)</v>
      </c>
      <c r="L87" s="2">
        <v>10</v>
      </c>
      <c r="M87" s="2" t="str">
        <f>"Reshape+TCL+TRL"</f>
        <v>Reshape+TCL+TRL</v>
      </c>
      <c r="N87" s="2" t="str">
        <f>"tcl::(1,1,1,50,2,2), trl:: (1,1,1,10,1,1,5)"</f>
        <v>tcl::(1,1,1,50,2,2), trl:: (1,1,1,10,1,1,5)</v>
      </c>
      <c r="O87" s="2" t="str">
        <f xml:space="preserve"> "(2,2,2)-type1"</f>
        <v>(2,2,2)-type1</v>
      </c>
      <c r="P87" s="2" t="str">
        <f>"(128,6,6) --&gt; (2,2,2,64,3,3) --&gt; (1,1,1,50,2,2) --&gt; (10)"</f>
        <v>(128,6,6) --&gt; (2,2,2,64,3,3) --&gt; (1,1,1,50,2,2) --&gt; (10)</v>
      </c>
      <c r="Q87" s="10">
        <f>3218 + 1557</f>
        <v>4775</v>
      </c>
      <c r="R87" s="10">
        <f>R86 -Q86 + Q87</f>
        <v>98471</v>
      </c>
      <c r="S87" s="2">
        <f xml:space="preserve"> (1-(Q87/Q85))*100</f>
        <v>99.899045765778567</v>
      </c>
      <c r="T87" s="2" t="s">
        <v>13</v>
      </c>
      <c r="U87" s="2" t="s">
        <v>144</v>
      </c>
      <c r="V87" s="2" t="s">
        <v>15</v>
      </c>
      <c r="W87" s="2" t="s">
        <v>17</v>
      </c>
    </row>
    <row r="88" spans="6:23" ht="22.5" thickTop="1" thickBot="1" x14ac:dyDescent="0.4">
      <c r="F88" s="15"/>
      <c r="G88" s="20">
        <v>1</v>
      </c>
      <c r="H88" s="5" t="s">
        <v>102</v>
      </c>
      <c r="I88" s="2" t="str">
        <f t="shared" si="32"/>
        <v>CNN</v>
      </c>
      <c r="J88" s="2" t="str">
        <f t="shared" si="30"/>
        <v>MNIST</v>
      </c>
      <c r="K88" s="2" t="str">
        <f t="shared" si="31"/>
        <v>(3,192,192)</v>
      </c>
      <c r="L88" s="2">
        <v>10</v>
      </c>
      <c r="M88" s="2" t="str">
        <f>"Reshape+TCL+TRL"</f>
        <v>Reshape+TCL+TRL</v>
      </c>
      <c r="N88" s="2" t="str">
        <f>"tcl::(1,1,1,50,2,2), trl:: (1,1,1,10,1,1,5)"</f>
        <v>tcl::(1,1,1,50,2,2), trl:: (1,1,1,10,1,1,5)</v>
      </c>
      <c r="O88" s="2" t="str">
        <f xml:space="preserve"> "(2,2,2)-type2"</f>
        <v>(2,2,2)-type2</v>
      </c>
      <c r="P88" s="2" t="str">
        <f>"(128,6,6) --&gt; (2,2,2,64,3,3) --&gt; (1,1,1,50,2,2) --&gt; (10)"</f>
        <v>(128,6,6) --&gt; (2,2,2,64,3,3) --&gt; (1,1,1,50,2,2) --&gt; (10)</v>
      </c>
      <c r="Q88" s="10">
        <f>3218 + 1557</f>
        <v>4775</v>
      </c>
      <c r="R88" s="10">
        <f xml:space="preserve"> R87 - Q87 + Q88</f>
        <v>98471</v>
      </c>
      <c r="S88" s="2">
        <f xml:space="preserve"> (1-(Q88/Q85))*100</f>
        <v>99.899045765778567</v>
      </c>
      <c r="T88" s="2" t="s">
        <v>13</v>
      </c>
      <c r="U88" s="2" t="s">
        <v>144</v>
      </c>
      <c r="V88" s="2" t="s">
        <v>15</v>
      </c>
      <c r="W88" s="2" t="s">
        <v>17</v>
      </c>
    </row>
    <row r="89" spans="6:23" ht="22.5" thickTop="1" thickBot="1" x14ac:dyDescent="0.4">
      <c r="F89" s="15"/>
      <c r="G89" s="21">
        <v>1</v>
      </c>
      <c r="H89" s="5" t="s">
        <v>103</v>
      </c>
      <c r="I89" s="2" t="str">
        <f t="shared" si="32"/>
        <v>CNN</v>
      </c>
      <c r="J89" s="2" t="str">
        <f t="shared" si="30"/>
        <v>MNIST</v>
      </c>
      <c r="K89" s="2" t="str">
        <f t="shared" si="31"/>
        <v>(3,192,192)</v>
      </c>
      <c r="L89" s="2">
        <v>10</v>
      </c>
      <c r="M89" s="2" t="str">
        <f>"Reshape+TCL+TRL"</f>
        <v>Reshape+TCL+TRL</v>
      </c>
      <c r="N89" s="2" t="str">
        <f>"tcl::(2,1,1,10,2,2), trl:: (1,1,1,5,1,1,10)"</f>
        <v>tcl::(2,1,1,10,2,2), trl:: (1,1,1,5,1,1,10)</v>
      </c>
      <c r="O89" s="2" t="str">
        <f xml:space="preserve"> "(8,2,2)-type1"</f>
        <v>(8,2,2)-type1</v>
      </c>
      <c r="P89" s="2" t="str">
        <f>"(128,6,6) --&gt; (8,2,2,16,3,3) --&gt; (2,1,1,10,2,2) --&gt; (10)"</f>
        <v>(128,6,6) --&gt; (8,2,2,16,3,3) --&gt; (2,1,1,10,2,2) --&gt; (10)</v>
      </c>
      <c r="Q89" s="10">
        <f>192 + 208</f>
        <v>400</v>
      </c>
      <c r="R89" s="10">
        <f>R88 -Q88+ Q89</f>
        <v>94096</v>
      </c>
      <c r="S89" s="2">
        <f xml:space="preserve"> (1-(Q89/Q85))*100</f>
        <v>99.991543100798211</v>
      </c>
      <c r="T89" s="2" t="s">
        <v>13</v>
      </c>
      <c r="U89" s="2" t="s">
        <v>144</v>
      </c>
      <c r="V89" s="2" t="s">
        <v>15</v>
      </c>
      <c r="W89" s="2" t="s">
        <v>17</v>
      </c>
    </row>
    <row r="90" spans="6:23" ht="22.5" thickTop="1" thickBot="1" x14ac:dyDescent="0.4">
      <c r="F90" s="15"/>
      <c r="G90" s="21">
        <v>1</v>
      </c>
      <c r="H90" s="5" t="s">
        <v>104</v>
      </c>
      <c r="I90" s="2" t="str">
        <f t="shared" si="32"/>
        <v>CNN</v>
      </c>
      <c r="J90" s="2" t="str">
        <f t="shared" si="30"/>
        <v>MNIST</v>
      </c>
      <c r="K90" s="2" t="str">
        <f t="shared" si="31"/>
        <v>(3,192,192)</v>
      </c>
      <c r="L90" s="2">
        <v>10</v>
      </c>
      <c r="M90" s="2" t="str">
        <f>"Reshape+TCL+TRL"</f>
        <v>Reshape+TCL+TRL</v>
      </c>
      <c r="N90" s="2" t="str">
        <f>"tcl::(2,1,1,10,2,2), trl:: (1,1,1,5,1,1,10)"</f>
        <v>tcl::(2,1,1,10,2,2), trl:: (1,1,1,5,1,1,10)</v>
      </c>
      <c r="O90" s="2" t="str">
        <f xml:space="preserve"> "(8,2,2)-type2"</f>
        <v>(8,2,2)-type2</v>
      </c>
      <c r="P90" s="2" t="str">
        <f>"(128,6,6) --&gt; (8,2,2,16,3,3) --&gt; (2,1,1,10,2,2) --&gt; (10)"</f>
        <v>(128,6,6) --&gt; (8,2,2,16,3,3) --&gt; (2,1,1,10,2,2) --&gt; (10)</v>
      </c>
      <c r="Q90" s="10">
        <f>192 + 208</f>
        <v>400</v>
      </c>
      <c r="R90" s="10">
        <f t="shared" ref="R90" si="33" xml:space="preserve"> R89 - Q89 + Q90</f>
        <v>94096</v>
      </c>
      <c r="S90" s="2">
        <f xml:space="preserve"> (1-(Q90/Q85))*100</f>
        <v>99.991543100798211</v>
      </c>
      <c r="T90" s="2" t="s">
        <v>13</v>
      </c>
      <c r="U90" s="2" t="s">
        <v>144</v>
      </c>
      <c r="V90" s="2" t="s">
        <v>15</v>
      </c>
      <c r="W90" s="2" t="s">
        <v>17</v>
      </c>
    </row>
    <row r="91" spans="6:23" ht="22.5" thickTop="1" thickBot="1" x14ac:dyDescent="0.4">
      <c r="F91" s="7"/>
      <c r="G91" s="1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spans="6:23" ht="22.5" thickTop="1" thickBot="1" x14ac:dyDescent="0.4">
      <c r="F92" s="15"/>
      <c r="G92" s="20">
        <v>1</v>
      </c>
      <c r="H92" s="5" t="s">
        <v>105</v>
      </c>
      <c r="I92" s="2" t="str">
        <f xml:space="preserve"> "CNN"</f>
        <v>CNN</v>
      </c>
      <c r="J92" s="2" t="str">
        <f t="shared" ref="J92:J97" si="34" xml:space="preserve"> "CIFAR10"</f>
        <v>CIFAR10</v>
      </c>
      <c r="K92" s="2" t="str">
        <f t="shared" si="31"/>
        <v>(3,192,192)</v>
      </c>
      <c r="L92" s="2">
        <v>10</v>
      </c>
      <c r="M92" s="2" t="str">
        <f xml:space="preserve"> "Linear"</f>
        <v>Linear</v>
      </c>
      <c r="N92" s="2" t="s">
        <v>9</v>
      </c>
      <c r="O92" s="2" t="b">
        <f xml:space="preserve"> FALSE</f>
        <v>0</v>
      </c>
      <c r="P92" s="2" t="str">
        <f>"(128,6,6) --&gt; (1024) --&gt; (10)"</f>
        <v>(128,6,6) --&gt; (1024) --&gt; (10)</v>
      </c>
      <c r="Q92" s="10">
        <f>4729866</f>
        <v>4729866</v>
      </c>
      <c r="R92" s="10">
        <f>4823562</f>
        <v>4823562</v>
      </c>
      <c r="S92" s="2" t="s">
        <v>18</v>
      </c>
      <c r="T92" s="2" t="s">
        <v>143</v>
      </c>
      <c r="U92" s="2" t="s">
        <v>142</v>
      </c>
      <c r="V92" s="2" t="s">
        <v>15</v>
      </c>
      <c r="W92" s="2" t="s">
        <v>17</v>
      </c>
    </row>
    <row r="93" spans="6:23" ht="22.5" thickTop="1" thickBot="1" x14ac:dyDescent="0.4">
      <c r="F93" s="15"/>
      <c r="G93" s="20">
        <v>1</v>
      </c>
      <c r="H93" s="5" t="s">
        <v>106</v>
      </c>
      <c r="I93" s="2" t="str">
        <f t="shared" ref="I93:I97" si="35" xml:space="preserve"> "CNN"</f>
        <v>CNN</v>
      </c>
      <c r="J93" s="2" t="str">
        <f t="shared" si="34"/>
        <v>CIFAR10</v>
      </c>
      <c r="K93" s="2" t="str">
        <f t="shared" si="31"/>
        <v>(3,192,192)</v>
      </c>
      <c r="L93" s="2">
        <v>10</v>
      </c>
      <c r="M93" s="2" t="str">
        <f xml:space="preserve"> "TCL + TRL"</f>
        <v>TCL + TRL</v>
      </c>
      <c r="N93" s="2" t="str">
        <f>"tcl:: (100,4,4), trl:: (70,2,2,10)"</f>
        <v>tcl:: (100,4,4), trl:: (70,2,2,10)</v>
      </c>
      <c r="O93" s="2" t="b">
        <f xml:space="preserve"> FALSE</f>
        <v>0</v>
      </c>
      <c r="P93" s="2" t="str">
        <f>"(128,6,6) --&gt; (100,4,4) --&gt; (10)"</f>
        <v>(128,6,6) --&gt; (100,4,4) --&gt; (10)</v>
      </c>
      <c r="Q93" s="10">
        <f>12848 + 9916</f>
        <v>22764</v>
      </c>
      <c r="R93" s="10">
        <f xml:space="preserve"> R92 - Q92 + Q93</f>
        <v>116460</v>
      </c>
      <c r="S93" s="2">
        <f xml:space="preserve"> (1-(Q93/Q92))*100</f>
        <v>99.518717866425817</v>
      </c>
      <c r="T93" s="2" t="s">
        <v>13</v>
      </c>
      <c r="U93" s="2" t="s">
        <v>144</v>
      </c>
      <c r="V93" s="2" t="s">
        <v>15</v>
      </c>
      <c r="W93" s="2" t="s">
        <v>17</v>
      </c>
    </row>
    <row r="94" spans="6:23" ht="22.5" thickTop="1" thickBot="1" x14ac:dyDescent="0.4">
      <c r="F94" s="15"/>
      <c r="G94" s="20">
        <v>1</v>
      </c>
      <c r="H94" s="5" t="s">
        <v>107</v>
      </c>
      <c r="I94" s="2" t="str">
        <f t="shared" si="35"/>
        <v>CNN</v>
      </c>
      <c r="J94" s="2" t="str">
        <f t="shared" si="34"/>
        <v>CIFAR10</v>
      </c>
      <c r="K94" s="2" t="str">
        <f t="shared" si="31"/>
        <v>(3,192,192)</v>
      </c>
      <c r="L94" s="2">
        <v>10</v>
      </c>
      <c r="M94" s="2" t="str">
        <f>"Reshape+TCL+TRL"</f>
        <v>Reshape+TCL+TRL</v>
      </c>
      <c r="N94" s="2" t="str">
        <f>"tcl::(1,1,1,50,2,2), trl:: (1,1,1,10,1,1,5)"</f>
        <v>tcl::(1,1,1,50,2,2), trl:: (1,1,1,10,1,1,5)</v>
      </c>
      <c r="O94" s="2" t="str">
        <f xml:space="preserve"> "(2,2,2)-type1"</f>
        <v>(2,2,2)-type1</v>
      </c>
      <c r="P94" s="2" t="str">
        <f>"(128,6,6) --&gt; (2,2,2,64,3,3) --&gt; (1,1,1,50,2,2) --&gt; (10)"</f>
        <v>(128,6,6) --&gt; (2,2,2,64,3,3) --&gt; (1,1,1,50,2,2) --&gt; (10)</v>
      </c>
      <c r="Q94" s="10">
        <f>3218 + 1557</f>
        <v>4775</v>
      </c>
      <c r="R94" s="10">
        <f>R93 -Q93 + Q94</f>
        <v>98471</v>
      </c>
      <c r="S94" s="2">
        <f xml:space="preserve"> (1-(Q94/Q92))*100</f>
        <v>99.899045765778567</v>
      </c>
      <c r="T94" s="2" t="s">
        <v>13</v>
      </c>
      <c r="U94" s="2" t="s">
        <v>144</v>
      </c>
      <c r="V94" s="2" t="s">
        <v>15</v>
      </c>
      <c r="W94" s="2" t="s">
        <v>17</v>
      </c>
    </row>
    <row r="95" spans="6:23" ht="22.5" thickTop="1" thickBot="1" x14ac:dyDescent="0.4">
      <c r="F95" s="15"/>
      <c r="G95" s="20">
        <v>1</v>
      </c>
      <c r="H95" s="5" t="s">
        <v>108</v>
      </c>
      <c r="I95" s="2" t="str">
        <f t="shared" si="35"/>
        <v>CNN</v>
      </c>
      <c r="J95" s="2" t="str">
        <f t="shared" si="34"/>
        <v>CIFAR10</v>
      </c>
      <c r="K95" s="2" t="str">
        <f t="shared" si="31"/>
        <v>(3,192,192)</v>
      </c>
      <c r="L95" s="2">
        <v>10</v>
      </c>
      <c r="M95" s="2" t="str">
        <f>"Reshape+TCL+TRL"</f>
        <v>Reshape+TCL+TRL</v>
      </c>
      <c r="N95" s="2" t="str">
        <f>"tcl::(1,1,1,50,2,2), trl:: (1,1,1,10,1,1,5)"</f>
        <v>tcl::(1,1,1,50,2,2), trl:: (1,1,1,10,1,1,5)</v>
      </c>
      <c r="O95" s="2" t="str">
        <f xml:space="preserve"> "(2,2,2)-type2"</f>
        <v>(2,2,2)-type2</v>
      </c>
      <c r="P95" s="2" t="str">
        <f>"(128,6,6) --&gt; (2,2,2,64,3,3) --&gt; (1,1,1,50,2,2) --&gt; (10)"</f>
        <v>(128,6,6) --&gt; (2,2,2,64,3,3) --&gt; (1,1,1,50,2,2) --&gt; (10)</v>
      </c>
      <c r="Q95" s="10">
        <f>3218 + 1557</f>
        <v>4775</v>
      </c>
      <c r="R95" s="10">
        <f xml:space="preserve"> R94 - Q94 + Q95</f>
        <v>98471</v>
      </c>
      <c r="S95" s="2">
        <f xml:space="preserve"> (1-(Q95/Q92))*100</f>
        <v>99.899045765778567</v>
      </c>
      <c r="T95" s="2" t="s">
        <v>13</v>
      </c>
      <c r="U95" s="2" t="s">
        <v>144</v>
      </c>
      <c r="V95" s="2" t="s">
        <v>15</v>
      </c>
      <c r="W95" s="2" t="s">
        <v>17</v>
      </c>
    </row>
    <row r="96" spans="6:23" ht="22.5" thickTop="1" thickBot="1" x14ac:dyDescent="0.4">
      <c r="F96" s="15"/>
      <c r="G96" s="21">
        <v>1</v>
      </c>
      <c r="H96" s="5" t="s">
        <v>109</v>
      </c>
      <c r="I96" s="2" t="str">
        <f t="shared" si="35"/>
        <v>CNN</v>
      </c>
      <c r="J96" s="2" t="str">
        <f t="shared" si="34"/>
        <v>CIFAR10</v>
      </c>
      <c r="K96" s="2" t="str">
        <f t="shared" si="31"/>
        <v>(3,192,192)</v>
      </c>
      <c r="L96" s="2">
        <v>10</v>
      </c>
      <c r="M96" s="2" t="str">
        <f>"Reshape+TCL+TRL"</f>
        <v>Reshape+TCL+TRL</v>
      </c>
      <c r="N96" s="2" t="str">
        <f>"tcl::(2,1,1,10,2,2), trl:: (1,1,1,5,1,1,10)"</f>
        <v>tcl::(2,1,1,10,2,2), trl:: (1,1,1,5,1,1,10)</v>
      </c>
      <c r="O96" s="2" t="str">
        <f xml:space="preserve"> "(8,2,2)-type1"</f>
        <v>(8,2,2)-type1</v>
      </c>
      <c r="P96" s="2" t="str">
        <f>"(128,6,6) --&gt; (8,2,2,16,3,3) --&gt; (2,1,1,10,2,2) --&gt; (10)"</f>
        <v>(128,6,6) --&gt; (8,2,2,16,3,3) --&gt; (2,1,1,10,2,2) --&gt; (10)</v>
      </c>
      <c r="Q96" s="10">
        <f>192 + 208</f>
        <v>400</v>
      </c>
      <c r="R96" s="10">
        <f>R95 -Q95+ Q96</f>
        <v>94096</v>
      </c>
      <c r="S96" s="2">
        <f xml:space="preserve"> (1-(Q96/Q92))*100</f>
        <v>99.991543100798211</v>
      </c>
      <c r="T96" s="2" t="s">
        <v>13</v>
      </c>
      <c r="U96" s="2" t="s">
        <v>144</v>
      </c>
      <c r="V96" s="2" t="s">
        <v>15</v>
      </c>
      <c r="W96" s="2" t="s">
        <v>17</v>
      </c>
    </row>
    <row r="97" spans="6:23" ht="22.5" thickTop="1" thickBot="1" x14ac:dyDescent="0.4">
      <c r="F97" s="15"/>
      <c r="G97" s="21">
        <v>1</v>
      </c>
      <c r="H97" s="5" t="s">
        <v>110</v>
      </c>
      <c r="I97" s="2" t="str">
        <f t="shared" si="35"/>
        <v>CNN</v>
      </c>
      <c r="J97" s="2" t="str">
        <f t="shared" si="34"/>
        <v>CIFAR10</v>
      </c>
      <c r="K97" s="2" t="str">
        <f t="shared" si="31"/>
        <v>(3,192,192)</v>
      </c>
      <c r="L97" s="2">
        <v>10</v>
      </c>
      <c r="M97" s="2" t="str">
        <f>"Reshape+TCL+TRL"</f>
        <v>Reshape+TCL+TRL</v>
      </c>
      <c r="N97" s="2" t="str">
        <f>"tcl::(2,1,1,10,2,2), trl:: (1,1,1,5,1,1,10)"</f>
        <v>tcl::(2,1,1,10,2,2), trl:: (1,1,1,5,1,1,10)</v>
      </c>
      <c r="O97" s="2" t="str">
        <f xml:space="preserve"> "(8,2,2)-type2"</f>
        <v>(8,2,2)-type2</v>
      </c>
      <c r="P97" s="2" t="str">
        <f>"(128,6,6) --&gt; (8,2,2,16,3,3) --&gt; (2,1,1,10,2,2) --&gt; (10)"</f>
        <v>(128,6,6) --&gt; (8,2,2,16,3,3) --&gt; (2,1,1,10,2,2) --&gt; (10)</v>
      </c>
      <c r="Q97" s="10">
        <f>192 + 208</f>
        <v>400</v>
      </c>
      <c r="R97" s="10">
        <f t="shared" ref="R97" si="36" xml:space="preserve"> R96 - Q96 + Q97</f>
        <v>94096</v>
      </c>
      <c r="S97" s="2">
        <f xml:space="preserve"> (1-(Q97/Q92))*100</f>
        <v>99.991543100798211</v>
      </c>
      <c r="T97" s="2" t="s">
        <v>13</v>
      </c>
      <c r="U97" s="2" t="s">
        <v>144</v>
      </c>
      <c r="V97" s="2" t="s">
        <v>15</v>
      </c>
      <c r="W97" s="2" t="s">
        <v>17</v>
      </c>
    </row>
    <row r="98" spans="6:23" ht="22.5" thickTop="1" thickBot="1" x14ac:dyDescent="0.4">
      <c r="F98" s="7"/>
      <c r="G98" s="18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6:23" ht="22.5" thickTop="1" thickBot="1" x14ac:dyDescent="0.4">
      <c r="F99" s="15"/>
      <c r="G99" s="21">
        <v>1</v>
      </c>
      <c r="H99" s="5" t="s">
        <v>111</v>
      </c>
      <c r="I99" s="2" t="str">
        <f xml:space="preserve"> "CNN"</f>
        <v>CNN</v>
      </c>
      <c r="J99" s="2" t="str">
        <f xml:space="preserve"> "TINY"</f>
        <v>TINY</v>
      </c>
      <c r="K99" s="2" t="str">
        <f t="shared" si="31"/>
        <v>(3,192,192)</v>
      </c>
      <c r="L99" s="2">
        <v>200</v>
      </c>
      <c r="M99" s="2" t="str">
        <f xml:space="preserve"> "Linear"</f>
        <v>Linear</v>
      </c>
      <c r="N99" s="2" t="s">
        <v>9</v>
      </c>
      <c r="O99" s="2" t="b">
        <f xml:space="preserve"> FALSE</f>
        <v>0</v>
      </c>
      <c r="P99" s="2" t="str">
        <f>"(128,6,6) --&gt; (1024) --&gt; (200)"</f>
        <v>(128,6,6) --&gt; (1024) --&gt; (200)</v>
      </c>
      <c r="Q99" s="10">
        <f>4924616</f>
        <v>4924616</v>
      </c>
      <c r="R99" s="10">
        <f>5018312</f>
        <v>5018312</v>
      </c>
      <c r="S99" s="2" t="s">
        <v>18</v>
      </c>
      <c r="T99" s="2" t="s">
        <v>143</v>
      </c>
      <c r="U99" s="2" t="s">
        <v>142</v>
      </c>
      <c r="V99" s="2" t="s">
        <v>15</v>
      </c>
      <c r="W99" s="2" t="s">
        <v>17</v>
      </c>
    </row>
    <row r="100" spans="6:23" ht="22.5" thickTop="1" thickBot="1" x14ac:dyDescent="0.4">
      <c r="F100" s="15"/>
      <c r="G100" s="21">
        <v>1</v>
      </c>
      <c r="H100" s="5" t="s">
        <v>112</v>
      </c>
      <c r="I100" s="2" t="str">
        <f t="shared" ref="I100:I104" si="37" xml:space="preserve"> "CNN"</f>
        <v>CNN</v>
      </c>
      <c r="J100" s="2" t="str">
        <f t="shared" ref="J100:J104" si="38" xml:space="preserve"> "TINY"</f>
        <v>TINY</v>
      </c>
      <c r="K100" s="2" t="str">
        <f t="shared" si="31"/>
        <v>(3,192,192)</v>
      </c>
      <c r="L100" s="2">
        <v>200</v>
      </c>
      <c r="M100" s="2" t="str">
        <f xml:space="preserve"> "TCL + TRL"</f>
        <v>TCL + TRL</v>
      </c>
      <c r="N100" s="2" t="str">
        <f>"tcl:: (100,4,4), trl:: (70,2,2,200)"</f>
        <v>tcl:: (100,4,4), trl:: (70,2,2,200)</v>
      </c>
      <c r="O100" s="2" t="b">
        <f xml:space="preserve"> FALSE</f>
        <v>0</v>
      </c>
      <c r="P100" s="2" t="str">
        <f>"(128,6,6) --&gt; (100,4,4) --&gt; (200)"</f>
        <v>(128,6,6) --&gt; (100,4,4) --&gt; (200)</v>
      </c>
      <c r="Q100" s="10">
        <f>12848 + 103016</f>
        <v>115864</v>
      </c>
      <c r="R100" s="10">
        <f xml:space="preserve"> R99 - Q99 + Q100</f>
        <v>209560</v>
      </c>
      <c r="S100" s="2">
        <f xml:space="preserve"> (1-(Q100/Q99))*100</f>
        <v>97.647248029084906</v>
      </c>
      <c r="T100" s="2" t="s">
        <v>13</v>
      </c>
      <c r="U100" s="2" t="s">
        <v>144</v>
      </c>
      <c r="V100" s="2" t="s">
        <v>15</v>
      </c>
      <c r="W100" s="2" t="s">
        <v>17</v>
      </c>
    </row>
    <row r="101" spans="6:23" ht="22.5" thickTop="1" thickBot="1" x14ac:dyDescent="0.4">
      <c r="F101" s="15"/>
      <c r="G101" s="21">
        <v>1</v>
      </c>
      <c r="H101" s="5" t="s">
        <v>113</v>
      </c>
      <c r="I101" s="2" t="str">
        <f t="shared" si="37"/>
        <v>CNN</v>
      </c>
      <c r="J101" s="2" t="str">
        <f t="shared" si="38"/>
        <v>TINY</v>
      </c>
      <c r="K101" s="2" t="str">
        <f t="shared" si="31"/>
        <v>(3,192,192)</v>
      </c>
      <c r="L101" s="2">
        <v>200</v>
      </c>
      <c r="M101" s="2" t="str">
        <f>"Reshape+TCL+TRL"</f>
        <v>Reshape+TCL+TRL</v>
      </c>
      <c r="N101" s="2" t="str">
        <f>"tcl::(1,1,1,50,2,2), trl:: (1,1,1,30,1,1,100)"</f>
        <v>tcl::(1,1,1,50,2,2), trl:: (1,1,1,30,1,1,100)</v>
      </c>
      <c r="O101" s="2" t="str">
        <f xml:space="preserve"> "(2,2,2)-type1"</f>
        <v>(2,2,2)-type1</v>
      </c>
      <c r="P101" s="2" t="str">
        <f>"(128,6,6) --&gt; (2,2,2,64,3,3) --&gt; (1,1,1,50,2,2) --&gt; (200)"</f>
        <v>(128,6,6) --&gt; (2,2,2,64,3,3) --&gt; (1,1,1,50,2,2) --&gt; (200)</v>
      </c>
      <c r="Q101" s="10">
        <f>3218 + 24507</f>
        <v>27725</v>
      </c>
      <c r="R101" s="10">
        <f>R100 -Q100 + Q101</f>
        <v>121421</v>
      </c>
      <c r="S101" s="2">
        <f xml:space="preserve"> (1-(Q101/Q99))*100</f>
        <v>99.437011941641742</v>
      </c>
      <c r="T101" s="2" t="s">
        <v>13</v>
      </c>
      <c r="U101" s="2" t="s">
        <v>144</v>
      </c>
      <c r="V101" s="2" t="s">
        <v>15</v>
      </c>
      <c r="W101" s="2" t="s">
        <v>17</v>
      </c>
    </row>
    <row r="102" spans="6:23" ht="22.5" thickTop="1" thickBot="1" x14ac:dyDescent="0.4">
      <c r="F102" s="15"/>
      <c r="G102" s="21">
        <v>1</v>
      </c>
      <c r="H102" s="5" t="s">
        <v>114</v>
      </c>
      <c r="I102" s="2" t="str">
        <f t="shared" si="37"/>
        <v>CNN</v>
      </c>
      <c r="J102" s="2" t="str">
        <f t="shared" si="38"/>
        <v>TINY</v>
      </c>
      <c r="K102" s="2" t="str">
        <f t="shared" si="31"/>
        <v>(3,192,192)</v>
      </c>
      <c r="L102" s="2">
        <v>200</v>
      </c>
      <c r="M102" s="2" t="str">
        <f>"Reshape+TCL+TRL"</f>
        <v>Reshape+TCL+TRL</v>
      </c>
      <c r="N102" s="2" t="str">
        <f>"tcl::(1,1,1,50,2,2), trl:: (1,1,1,30,1,1,100)"</f>
        <v>tcl::(1,1,1,50,2,2), trl:: (1,1,1,30,1,1,100)</v>
      </c>
      <c r="O102" s="2" t="str">
        <f xml:space="preserve"> "(2,2,2)-type2"</f>
        <v>(2,2,2)-type2</v>
      </c>
      <c r="P102" s="2" t="str">
        <f>"(128,6,6) --&gt; (2,2,2,64,3,3) --&gt; (1,1,1,50,2,2) --&gt; (200)"</f>
        <v>(128,6,6) --&gt; (2,2,2,64,3,3) --&gt; (1,1,1,50,2,2) --&gt; (200)</v>
      </c>
      <c r="Q102" s="10">
        <f>3218 + 24507</f>
        <v>27725</v>
      </c>
      <c r="R102" s="10">
        <f xml:space="preserve"> R101 - Q101 + Q102</f>
        <v>121421</v>
      </c>
      <c r="S102" s="2">
        <f xml:space="preserve"> (1-(Q102/Q99))*100</f>
        <v>99.437011941641742</v>
      </c>
      <c r="T102" s="2" t="s">
        <v>13</v>
      </c>
      <c r="U102" s="2" t="s">
        <v>144</v>
      </c>
      <c r="V102" s="2" t="s">
        <v>15</v>
      </c>
      <c r="W102" s="2" t="s">
        <v>17</v>
      </c>
    </row>
    <row r="103" spans="6:23" ht="22.5" thickTop="1" thickBot="1" x14ac:dyDescent="0.4">
      <c r="F103" s="15"/>
      <c r="G103" s="21">
        <v>1</v>
      </c>
      <c r="H103" s="5" t="s">
        <v>115</v>
      </c>
      <c r="I103" s="2" t="str">
        <f t="shared" si="37"/>
        <v>CNN</v>
      </c>
      <c r="J103" s="2" t="str">
        <f t="shared" si="38"/>
        <v>TINY</v>
      </c>
      <c r="K103" s="2" t="str">
        <f t="shared" si="31"/>
        <v>(3,192,192)</v>
      </c>
      <c r="L103" s="2">
        <v>200</v>
      </c>
      <c r="M103" s="2" t="str">
        <f>"Reshape+TCL+TRL"</f>
        <v>Reshape+TCL+TRL</v>
      </c>
      <c r="N103" s="2" t="str">
        <f>"tcl::(2,1,1,10,2,2), trl:: (1,1,1,5,1,1,50)"</f>
        <v>tcl::(2,1,1,10,2,2), trl:: (1,1,1,5,1,1,50)</v>
      </c>
      <c r="O103" s="2" t="str">
        <f xml:space="preserve"> "(8,2,2)-type1"</f>
        <v>(8,2,2)-type1</v>
      </c>
      <c r="P103" s="2" t="str">
        <f>"(128,6,6) --&gt; (8,2,2,16,3,3) --&gt; (2,1,1,10,2,2) --&gt; (200)"</f>
        <v>(128,6,6) --&gt; (8,2,2,16,3,3) --&gt; (2,1,1,10,2,2) --&gt; (200)</v>
      </c>
      <c r="Q103" s="10">
        <f>192 + 10308</f>
        <v>10500</v>
      </c>
      <c r="R103" s="10">
        <f>R102 -Q102+ Q103</f>
        <v>104196</v>
      </c>
      <c r="S103" s="2">
        <f xml:space="preserve"> (1-(Q103/Q99))*100</f>
        <v>99.786785406212388</v>
      </c>
      <c r="T103" s="2" t="s">
        <v>13</v>
      </c>
      <c r="U103" s="2" t="s">
        <v>144</v>
      </c>
      <c r="V103" s="2" t="s">
        <v>15</v>
      </c>
      <c r="W103" s="2" t="s">
        <v>17</v>
      </c>
    </row>
    <row r="104" spans="6:23" ht="22.5" thickTop="1" thickBot="1" x14ac:dyDescent="0.4">
      <c r="F104" s="15"/>
      <c r="G104" s="21">
        <v>1</v>
      </c>
      <c r="H104" s="5" t="s">
        <v>116</v>
      </c>
      <c r="I104" s="2" t="str">
        <f t="shared" si="37"/>
        <v>CNN</v>
      </c>
      <c r="J104" s="2" t="str">
        <f t="shared" si="38"/>
        <v>TINY</v>
      </c>
      <c r="K104" s="2" t="str">
        <f t="shared" si="31"/>
        <v>(3,192,192)</v>
      </c>
      <c r="L104" s="2">
        <v>200</v>
      </c>
      <c r="M104" s="2" t="str">
        <f>"Reshape+TCL+TRL"</f>
        <v>Reshape+TCL+TRL</v>
      </c>
      <c r="N104" s="2" t="str">
        <f>"tcl::(2,1,1,10,2,2), trl:: (1,1,1,5,1,1,50)"</f>
        <v>tcl::(2,1,1,10,2,2), trl:: (1,1,1,5,1,1,50)</v>
      </c>
      <c r="O104" s="2" t="str">
        <f xml:space="preserve"> "(8,2,2)-type2"</f>
        <v>(8,2,2)-type2</v>
      </c>
      <c r="P104" s="2" t="str">
        <f>"(128,6,6) --&gt; (8,2,2,16,3,3) --&gt; (2,1,1,10,2,2) --&gt; (200)"</f>
        <v>(128,6,6) --&gt; (8,2,2,16,3,3) --&gt; (2,1,1,10,2,2) --&gt; (200)</v>
      </c>
      <c r="Q104" s="10">
        <f>192 + 10308</f>
        <v>10500</v>
      </c>
      <c r="R104" s="10">
        <f t="shared" ref="R104" si="39" xml:space="preserve"> R103 - Q103 + Q104</f>
        <v>104196</v>
      </c>
      <c r="S104" s="2">
        <f xml:space="preserve"> (1-(Q104/Q99))*100</f>
        <v>99.786785406212388</v>
      </c>
      <c r="T104" s="2" t="s">
        <v>13</v>
      </c>
      <c r="U104" s="2" t="s">
        <v>144</v>
      </c>
      <c r="V104" s="2" t="s">
        <v>15</v>
      </c>
      <c r="W104" s="2" t="s">
        <v>17</v>
      </c>
    </row>
    <row r="105" spans="6:23" ht="22.5" thickTop="1" thickBot="1" x14ac:dyDescent="0.4">
      <c r="F105" s="7"/>
      <c r="G105" s="1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spans="6:23" ht="22.5" thickTop="1" thickBot="1" x14ac:dyDescent="0.4">
      <c r="F106" s="15"/>
      <c r="G106" s="21">
        <v>1</v>
      </c>
      <c r="H106" s="5" t="s">
        <v>117</v>
      </c>
      <c r="I106" s="2" t="str">
        <f xml:space="preserve"> "VGG19"</f>
        <v>VGG19</v>
      </c>
      <c r="J106" s="2" t="str">
        <f t="shared" ref="J106:J111" si="40" xml:space="preserve"> "MNIST"</f>
        <v>MNIST</v>
      </c>
      <c r="K106" s="2" t="str">
        <f t="shared" si="31"/>
        <v>(3,192,192)</v>
      </c>
      <c r="L106" s="2">
        <v>10</v>
      </c>
      <c r="M106" s="2" t="str">
        <f xml:space="preserve"> "Linear"</f>
        <v>Linear</v>
      </c>
      <c r="N106" s="2" t="s">
        <v>9</v>
      </c>
      <c r="O106" s="2" t="b">
        <f xml:space="preserve"> FALSE</f>
        <v>0</v>
      </c>
      <c r="P106" s="2" t="str">
        <f>"(512,6,6) --&gt; (4096) --&gt; (4096) --&gt; (10)"</f>
        <v>(512,6,6) --&gt; (4096) --&gt; (4096) --&gt; (10)</v>
      </c>
      <c r="Q106" s="10">
        <f>92323850</f>
        <v>92323850</v>
      </c>
      <c r="R106" s="10">
        <f>112348234</f>
        <v>112348234</v>
      </c>
      <c r="S106" s="2" t="s">
        <v>18</v>
      </c>
      <c r="T106" s="2" t="s">
        <v>13</v>
      </c>
      <c r="U106" s="2" t="s">
        <v>12</v>
      </c>
      <c r="V106" s="2" t="s">
        <v>15</v>
      </c>
      <c r="W106" s="2" t="s">
        <v>17</v>
      </c>
    </row>
    <row r="107" spans="6:23" ht="22.5" thickTop="1" thickBot="1" x14ac:dyDescent="0.4">
      <c r="F107" s="15"/>
      <c r="G107" s="21">
        <v>1</v>
      </c>
      <c r="H107" s="5" t="s">
        <v>118</v>
      </c>
      <c r="I107" s="2" t="str">
        <f t="shared" ref="I107:I111" si="41" xml:space="preserve"> "VGG19"</f>
        <v>VGG19</v>
      </c>
      <c r="J107" s="2" t="str">
        <f t="shared" si="40"/>
        <v>MNIST</v>
      </c>
      <c r="K107" s="2" t="str">
        <f t="shared" si="31"/>
        <v>(3,192,192)</v>
      </c>
      <c r="L107" s="2">
        <v>10</v>
      </c>
      <c r="M107" s="2" t="str">
        <f xml:space="preserve"> "TCL + TRL"</f>
        <v>TCL + TRL</v>
      </c>
      <c r="N107" s="2" t="str">
        <f>"tcl:: (350,4,4), trl:: (150,1,1,10)"</f>
        <v>tcl:: (350,4,4), trl:: (150,1,1,10)</v>
      </c>
      <c r="O107" s="2" t="b">
        <f xml:space="preserve"> FALSE</f>
        <v>0</v>
      </c>
      <c r="P107" s="2" t="str">
        <f>"(512,6,6) --&gt; (350,4,4) --&gt; (10)"</f>
        <v>(512,6,6) --&gt; (350,4,4) --&gt; (10)</v>
      </c>
      <c r="Q107" s="10">
        <f>179248 + 54108</f>
        <v>233356</v>
      </c>
      <c r="R107" s="10">
        <f xml:space="preserve"> R106 - Q106 + Q107</f>
        <v>20257740</v>
      </c>
      <c r="S107" s="2">
        <f xml:space="preserve"> (1-(Q107/Q106))*100</f>
        <v>99.74724190986403</v>
      </c>
      <c r="T107" s="2" t="s">
        <v>13</v>
      </c>
      <c r="U107" s="2" t="s">
        <v>12</v>
      </c>
      <c r="V107" s="2" t="s">
        <v>15</v>
      </c>
      <c r="W107" s="2" t="s">
        <v>17</v>
      </c>
    </row>
    <row r="108" spans="6:23" ht="22.5" thickTop="1" thickBot="1" x14ac:dyDescent="0.4">
      <c r="F108" s="15"/>
      <c r="G108" s="21">
        <v>1</v>
      </c>
      <c r="H108" s="5" t="s">
        <v>119</v>
      </c>
      <c r="I108" s="2" t="str">
        <f t="shared" si="41"/>
        <v>VGG19</v>
      </c>
      <c r="J108" s="2" t="str">
        <f t="shared" si="40"/>
        <v>MNIST</v>
      </c>
      <c r="K108" s="2" t="str">
        <f t="shared" si="31"/>
        <v>(3,192,192)</v>
      </c>
      <c r="L108" s="2">
        <v>10</v>
      </c>
      <c r="M108" s="2" t="str">
        <f>"Reshape+TCL+TRL"</f>
        <v>Reshape+TCL+TRL</v>
      </c>
      <c r="N108" s="2" t="str">
        <f>"tcl::(1,1,1,100,2,2), trl:: (1,1,1,50,1,1,10)"</f>
        <v>tcl::(1,1,1,100,2,2), trl:: (1,1,1,50,1,1,10)</v>
      </c>
      <c r="O108" s="2" t="str">
        <f xml:space="preserve"> "(2,2,2)-type1"</f>
        <v>(2,2,2)-type1</v>
      </c>
      <c r="P108" s="2" t="str">
        <f>"(512,6,6) --&gt; (2,2,2,256,3,3) --&gt; (1,1,1,100,2,2) --&gt; (10)"</f>
        <v>(512,6,6) --&gt; (2,2,2,256,3,3) --&gt; (1,1,1,100,2,2) --&gt; (10)</v>
      </c>
      <c r="Q108" s="10">
        <f>25618 + 5607</f>
        <v>31225</v>
      </c>
      <c r="R108" s="10">
        <f>R107 -Q107 + Q108</f>
        <v>20055609</v>
      </c>
      <c r="S108" s="2">
        <f xml:space="preserve"> (1-(Q108/Q106))*100</f>
        <v>99.966178836779434</v>
      </c>
      <c r="T108" s="2" t="s">
        <v>13</v>
      </c>
      <c r="U108" s="2" t="s">
        <v>12</v>
      </c>
      <c r="V108" s="2" t="s">
        <v>15</v>
      </c>
      <c r="W108" s="2" t="s">
        <v>17</v>
      </c>
    </row>
    <row r="109" spans="6:23" ht="22.5" thickTop="1" thickBot="1" x14ac:dyDescent="0.4">
      <c r="F109" s="15"/>
      <c r="G109" s="21">
        <v>1</v>
      </c>
      <c r="H109" s="5" t="s">
        <v>120</v>
      </c>
      <c r="I109" s="2" t="str">
        <f t="shared" si="41"/>
        <v>VGG19</v>
      </c>
      <c r="J109" s="2" t="str">
        <f t="shared" si="40"/>
        <v>MNIST</v>
      </c>
      <c r="K109" s="2" t="str">
        <f t="shared" si="31"/>
        <v>(3,192,192)</v>
      </c>
      <c r="L109" s="2">
        <v>10</v>
      </c>
      <c r="M109" s="2" t="str">
        <f>"Reshape+TCL+TRL"</f>
        <v>Reshape+TCL+TRL</v>
      </c>
      <c r="N109" s="2" t="str">
        <f>"tcl::(1,1,1,100,2,2), trl:: (1,1,1,50,1,1,10)"</f>
        <v>tcl::(1,1,1,100,2,2), trl:: (1,1,1,50,1,1,10)</v>
      </c>
      <c r="O109" s="2" t="str">
        <f xml:space="preserve"> "(2,2,2)-type2"</f>
        <v>(2,2,2)-type2</v>
      </c>
      <c r="P109" s="2" t="str">
        <f>"(512,6,6) --&gt; (2,2,2,256,3,3) --&gt; (1,1,1,100,2,2) --&gt; (10)"</f>
        <v>(512,6,6) --&gt; (2,2,2,256,3,3) --&gt; (1,1,1,100,2,2) --&gt; (10)</v>
      </c>
      <c r="Q109" s="10">
        <f>25618 + 5607</f>
        <v>31225</v>
      </c>
      <c r="R109" s="10">
        <f xml:space="preserve"> R108 - Q108 + Q109</f>
        <v>20055609</v>
      </c>
      <c r="S109" s="2">
        <f xml:space="preserve"> (1-(Q109/Q106))*100</f>
        <v>99.966178836779434</v>
      </c>
      <c r="T109" s="2" t="s">
        <v>13</v>
      </c>
      <c r="U109" s="2" t="s">
        <v>12</v>
      </c>
      <c r="V109" s="2" t="s">
        <v>15</v>
      </c>
      <c r="W109" s="2" t="s">
        <v>17</v>
      </c>
    </row>
    <row r="110" spans="6:23" ht="22.5" thickTop="1" thickBot="1" x14ac:dyDescent="0.4">
      <c r="F110" s="15"/>
      <c r="G110" s="21">
        <v>1</v>
      </c>
      <c r="H110" s="5" t="s">
        <v>121</v>
      </c>
      <c r="I110" s="2" t="str">
        <f t="shared" si="41"/>
        <v>VGG19</v>
      </c>
      <c r="J110" s="2" t="str">
        <f t="shared" si="40"/>
        <v>MNIST</v>
      </c>
      <c r="K110" s="2" t="str">
        <f t="shared" si="31"/>
        <v>(3,192,192)</v>
      </c>
      <c r="L110" s="2">
        <v>10</v>
      </c>
      <c r="M110" s="2" t="str">
        <f>"Reshape+TCL+TRL"</f>
        <v>Reshape+TCL+TRL</v>
      </c>
      <c r="N110" s="2" t="str">
        <f>"tcl::(2,1,1,40,2,2), trl:: (1,1,1,10,1,1,10)"</f>
        <v>tcl::(2,1,1,40,2,2), trl:: (1,1,1,10,1,1,10)</v>
      </c>
      <c r="O110" s="2" t="str">
        <f xml:space="preserve"> "(8,2,2)-type1"</f>
        <v>(8,2,2)-type1</v>
      </c>
      <c r="P110" s="2" t="str">
        <f>"(512,6,6) --&gt; (8,2,2,64,3,3) --&gt; (2,1,1,40,2,2) --&gt; (10)"</f>
        <v>(512,6,6) --&gt; (8,2,2,64,3,3) --&gt; (2,1,1,40,2,2) --&gt; (10)</v>
      </c>
      <c r="Q110" s="10">
        <f>2592 + 608</f>
        <v>3200</v>
      </c>
      <c r="R110" s="10">
        <f>R109 -Q109+ Q110</f>
        <v>20027584</v>
      </c>
      <c r="S110" s="2">
        <f xml:space="preserve"> (1-(Q110/Q106))*100</f>
        <v>99.996533940038248</v>
      </c>
      <c r="T110" s="2" t="s">
        <v>13</v>
      </c>
      <c r="U110" s="2" t="s">
        <v>12</v>
      </c>
      <c r="V110" s="2" t="s">
        <v>15</v>
      </c>
      <c r="W110" s="2" t="s">
        <v>17</v>
      </c>
    </row>
    <row r="111" spans="6:23" ht="22.5" thickTop="1" thickBot="1" x14ac:dyDescent="0.4">
      <c r="F111" s="15"/>
      <c r="G111" s="21">
        <v>1</v>
      </c>
      <c r="H111" s="5" t="s">
        <v>122</v>
      </c>
      <c r="I111" s="2" t="str">
        <f t="shared" si="41"/>
        <v>VGG19</v>
      </c>
      <c r="J111" s="2" t="str">
        <f t="shared" si="40"/>
        <v>MNIST</v>
      </c>
      <c r="K111" s="2" t="str">
        <f t="shared" si="31"/>
        <v>(3,192,192)</v>
      </c>
      <c r="L111" s="2">
        <v>10</v>
      </c>
      <c r="M111" s="2" t="str">
        <f>"Reshape+TCL+TRL"</f>
        <v>Reshape+TCL+TRL</v>
      </c>
      <c r="N111" s="2" t="str">
        <f>"tcl::(2,1,1,40,2,2), trl:: (1,1,1,10,1,1,10)"</f>
        <v>tcl::(2,1,1,40,2,2), trl:: (1,1,1,10,1,1,10)</v>
      </c>
      <c r="O111" s="2" t="str">
        <f xml:space="preserve"> "(8,2,2)-type2"</f>
        <v>(8,2,2)-type2</v>
      </c>
      <c r="P111" s="2" t="str">
        <f>"(512,6,6) --&gt; (8,2,2,64,3,3) --&gt; (2,1,1,40,2,2) --&gt; (10)"</f>
        <v>(512,6,6) --&gt; (8,2,2,64,3,3) --&gt; (2,1,1,40,2,2) --&gt; (10)</v>
      </c>
      <c r="Q111" s="10">
        <f>2592 + 608</f>
        <v>3200</v>
      </c>
      <c r="R111" s="10">
        <f t="shared" ref="R111" si="42" xml:space="preserve"> R110 - Q110 + Q111</f>
        <v>20027584</v>
      </c>
      <c r="S111" s="2">
        <f xml:space="preserve"> (1-(Q111/Q106))*100</f>
        <v>99.996533940038248</v>
      </c>
      <c r="T111" s="2" t="s">
        <v>13</v>
      </c>
      <c r="U111" s="2" t="s">
        <v>12</v>
      </c>
      <c r="V111" s="2" t="s">
        <v>15</v>
      </c>
      <c r="W111" s="2" t="s">
        <v>17</v>
      </c>
    </row>
    <row r="112" spans="6:23" ht="22.5" thickTop="1" thickBot="1" x14ac:dyDescent="0.4">
      <c r="F112" s="7"/>
      <c r="G112" s="18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spans="6:23" ht="22.5" thickTop="1" thickBot="1" x14ac:dyDescent="0.4">
      <c r="F113" s="15"/>
      <c r="G113" s="21">
        <v>1</v>
      </c>
      <c r="H113" s="5" t="s">
        <v>123</v>
      </c>
      <c r="I113" s="2" t="str">
        <f xml:space="preserve"> "VGG19"</f>
        <v>VGG19</v>
      </c>
      <c r="J113" s="2" t="str">
        <f xml:space="preserve"> "CIFAR10"</f>
        <v>CIFAR10</v>
      </c>
      <c r="K113" s="2" t="str">
        <f t="shared" si="31"/>
        <v>(3,192,192)</v>
      </c>
      <c r="L113" s="2">
        <v>10</v>
      </c>
      <c r="M113" s="2" t="str">
        <f xml:space="preserve"> "Linear"</f>
        <v>Linear</v>
      </c>
      <c r="N113" s="2" t="s">
        <v>9</v>
      </c>
      <c r="O113" s="2" t="b">
        <f xml:space="preserve"> FALSE</f>
        <v>0</v>
      </c>
      <c r="P113" s="2" t="str">
        <f>"(512,6,6) --&gt; (4096) --&gt; (4096) --&gt; (10)"</f>
        <v>(512,6,6) --&gt; (4096) --&gt; (4096) --&gt; (10)</v>
      </c>
      <c r="Q113" s="10">
        <f>92323850</f>
        <v>92323850</v>
      </c>
      <c r="R113" s="10">
        <f>112348234</f>
        <v>112348234</v>
      </c>
      <c r="S113" s="2" t="s">
        <v>18</v>
      </c>
      <c r="T113" s="2" t="s">
        <v>13</v>
      </c>
      <c r="U113" s="2" t="s">
        <v>12</v>
      </c>
      <c r="V113" s="2" t="s">
        <v>15</v>
      </c>
      <c r="W113" s="2" t="s">
        <v>17</v>
      </c>
    </row>
    <row r="114" spans="6:23" ht="22.5" thickTop="1" thickBot="1" x14ac:dyDescent="0.4">
      <c r="F114" s="15"/>
      <c r="G114" s="21">
        <v>1</v>
      </c>
      <c r="H114" s="5" t="s">
        <v>124</v>
      </c>
      <c r="I114" s="2" t="str">
        <f t="shared" ref="I114:I118" si="43" xml:space="preserve"> "VGG19"</f>
        <v>VGG19</v>
      </c>
      <c r="J114" s="2" t="str">
        <f t="shared" ref="J114:J118" si="44" xml:space="preserve"> "CIFAR10"</f>
        <v>CIFAR10</v>
      </c>
      <c r="K114" s="2" t="str">
        <f t="shared" si="31"/>
        <v>(3,192,192)</v>
      </c>
      <c r="L114" s="2">
        <v>10</v>
      </c>
      <c r="M114" s="2" t="str">
        <f xml:space="preserve"> "TCL + TRL"</f>
        <v>TCL + TRL</v>
      </c>
      <c r="N114" s="2" t="str">
        <f>"tcl:: (350,4,4), trl:: (150,1,1,10)"</f>
        <v>tcl:: (350,4,4), trl:: (150,1,1,10)</v>
      </c>
      <c r="O114" s="2" t="b">
        <f xml:space="preserve"> FALSE</f>
        <v>0</v>
      </c>
      <c r="P114" s="2" t="str">
        <f>"(512,6,6) --&gt; (350,4,4) --&gt; (10)"</f>
        <v>(512,6,6) --&gt; (350,4,4) --&gt; (10)</v>
      </c>
      <c r="Q114" s="10">
        <f>179248 + 54108</f>
        <v>233356</v>
      </c>
      <c r="R114" s="10">
        <f xml:space="preserve"> R113 - Q113 + Q114</f>
        <v>20257740</v>
      </c>
      <c r="S114" s="2">
        <f xml:space="preserve"> (1-(Q114/Q113))*100</f>
        <v>99.74724190986403</v>
      </c>
      <c r="T114" s="2" t="s">
        <v>13</v>
      </c>
      <c r="U114" s="2" t="s">
        <v>12</v>
      </c>
      <c r="V114" s="2" t="s">
        <v>15</v>
      </c>
      <c r="W114" s="2" t="s">
        <v>17</v>
      </c>
    </row>
    <row r="115" spans="6:23" ht="22.5" thickTop="1" thickBot="1" x14ac:dyDescent="0.4">
      <c r="F115" s="15"/>
      <c r="G115" s="21">
        <v>1</v>
      </c>
      <c r="H115" s="5" t="s">
        <v>125</v>
      </c>
      <c r="I115" s="2" t="str">
        <f t="shared" si="43"/>
        <v>VGG19</v>
      </c>
      <c r="J115" s="2" t="str">
        <f t="shared" si="44"/>
        <v>CIFAR10</v>
      </c>
      <c r="K115" s="2" t="str">
        <f t="shared" si="31"/>
        <v>(3,192,192)</v>
      </c>
      <c r="L115" s="2">
        <v>10</v>
      </c>
      <c r="M115" s="2" t="str">
        <f>"Reshape+TCL+TRL"</f>
        <v>Reshape+TCL+TRL</v>
      </c>
      <c r="N115" s="2" t="str">
        <f>"tcl::(1,1,1,100,2,2), trl:: (1,1,1,50,1,1,10)"</f>
        <v>tcl::(1,1,1,100,2,2), trl:: (1,1,1,50,1,1,10)</v>
      </c>
      <c r="O115" s="2" t="str">
        <f xml:space="preserve"> "(2,2,2)-type1"</f>
        <v>(2,2,2)-type1</v>
      </c>
      <c r="P115" s="2" t="str">
        <f>"(512,6,6) --&gt; (2,2,2,256,3,3) --&gt; (1,1,1,100,2,2) --&gt; (10)"</f>
        <v>(512,6,6) --&gt; (2,2,2,256,3,3) --&gt; (1,1,1,100,2,2) --&gt; (10)</v>
      </c>
      <c r="Q115" s="10">
        <f>25618 + 5607</f>
        <v>31225</v>
      </c>
      <c r="R115" s="10">
        <f>R114 -Q114 + Q115</f>
        <v>20055609</v>
      </c>
      <c r="S115" s="2">
        <f xml:space="preserve"> (1-(Q115/Q113))*100</f>
        <v>99.966178836779434</v>
      </c>
      <c r="T115" s="2" t="s">
        <v>13</v>
      </c>
      <c r="U115" s="2" t="s">
        <v>12</v>
      </c>
      <c r="V115" s="2" t="s">
        <v>15</v>
      </c>
      <c r="W115" s="2" t="s">
        <v>17</v>
      </c>
    </row>
    <row r="116" spans="6:23" ht="22.5" thickTop="1" thickBot="1" x14ac:dyDescent="0.4">
      <c r="F116" s="15"/>
      <c r="G116" s="21">
        <v>1</v>
      </c>
      <c r="H116" s="5" t="s">
        <v>127</v>
      </c>
      <c r="I116" s="2" t="str">
        <f t="shared" si="43"/>
        <v>VGG19</v>
      </c>
      <c r="J116" s="2" t="str">
        <f t="shared" si="44"/>
        <v>CIFAR10</v>
      </c>
      <c r="K116" s="2" t="str">
        <f t="shared" si="31"/>
        <v>(3,192,192)</v>
      </c>
      <c r="L116" s="2">
        <v>10</v>
      </c>
      <c r="M116" s="2" t="str">
        <f>"Reshape+TCL+TRL"</f>
        <v>Reshape+TCL+TRL</v>
      </c>
      <c r="N116" s="2" t="str">
        <f>"tcl::(1,1,1,100,2,2), trl:: (1,1,1,50,1,1,10)"</f>
        <v>tcl::(1,1,1,100,2,2), trl:: (1,1,1,50,1,1,10)</v>
      </c>
      <c r="O116" s="2" t="str">
        <f xml:space="preserve"> "(2,2,2)-type2"</f>
        <v>(2,2,2)-type2</v>
      </c>
      <c r="P116" s="2" t="str">
        <f>"(512,6,6) --&gt; (2,2,2,256,3,3) --&gt; (1,1,1,100,2,2) --&gt; (10)"</f>
        <v>(512,6,6) --&gt; (2,2,2,256,3,3) --&gt; (1,1,1,100,2,2) --&gt; (10)</v>
      </c>
      <c r="Q116" s="10">
        <f>25618 + 5607</f>
        <v>31225</v>
      </c>
      <c r="R116" s="10">
        <f xml:space="preserve"> R115 - Q115 + Q116</f>
        <v>20055609</v>
      </c>
      <c r="S116" s="2">
        <f xml:space="preserve"> (1-(Q116/Q113))*100</f>
        <v>99.966178836779434</v>
      </c>
      <c r="T116" s="2" t="s">
        <v>13</v>
      </c>
      <c r="U116" s="2" t="s">
        <v>12</v>
      </c>
      <c r="V116" s="2" t="s">
        <v>15</v>
      </c>
      <c r="W116" s="2" t="s">
        <v>17</v>
      </c>
    </row>
    <row r="117" spans="6:23" ht="22.5" thickTop="1" thickBot="1" x14ac:dyDescent="0.4">
      <c r="F117" s="15"/>
      <c r="G117" s="21">
        <v>1</v>
      </c>
      <c r="H117" s="5" t="s">
        <v>128</v>
      </c>
      <c r="I117" s="2" t="str">
        <f t="shared" si="43"/>
        <v>VGG19</v>
      </c>
      <c r="J117" s="2" t="str">
        <f t="shared" si="44"/>
        <v>CIFAR10</v>
      </c>
      <c r="K117" s="2" t="str">
        <f t="shared" si="31"/>
        <v>(3,192,192)</v>
      </c>
      <c r="L117" s="2">
        <v>10</v>
      </c>
      <c r="M117" s="2" t="str">
        <f>"Reshape+TCL+TRL"</f>
        <v>Reshape+TCL+TRL</v>
      </c>
      <c r="N117" s="2" t="str">
        <f>"tcl::(2,1,1,40,2,2), trl:: (1,1,1,10,1,1,10)"</f>
        <v>tcl::(2,1,1,40,2,2), trl:: (1,1,1,10,1,1,10)</v>
      </c>
      <c r="O117" s="2" t="str">
        <f xml:space="preserve"> "(8,2,2)-type1"</f>
        <v>(8,2,2)-type1</v>
      </c>
      <c r="P117" s="2" t="str">
        <f>"(512,6,6) --&gt; (8,2,2,64,3,3) --&gt; (2,1,1,40,2,2) --&gt; (10)"</f>
        <v>(512,6,6) --&gt; (8,2,2,64,3,3) --&gt; (2,1,1,40,2,2) --&gt; (10)</v>
      </c>
      <c r="Q117" s="10">
        <f>2592 + 608</f>
        <v>3200</v>
      </c>
      <c r="R117" s="10">
        <f>R116 -Q116+ Q117</f>
        <v>20027584</v>
      </c>
      <c r="S117" s="2">
        <f xml:space="preserve"> (1-(Q117/Q113))*100</f>
        <v>99.996533940038248</v>
      </c>
      <c r="T117" s="2" t="s">
        <v>13</v>
      </c>
      <c r="U117" s="2" t="s">
        <v>12</v>
      </c>
      <c r="V117" s="2" t="s">
        <v>15</v>
      </c>
      <c r="W117" s="2" t="s">
        <v>17</v>
      </c>
    </row>
    <row r="118" spans="6:23" ht="22.5" thickTop="1" thickBot="1" x14ac:dyDescent="0.4">
      <c r="F118" s="15"/>
      <c r="G118" s="21">
        <v>1</v>
      </c>
      <c r="H118" s="5" t="s">
        <v>129</v>
      </c>
      <c r="I118" s="2" t="str">
        <f t="shared" si="43"/>
        <v>VGG19</v>
      </c>
      <c r="J118" s="2" t="str">
        <f t="shared" si="44"/>
        <v>CIFAR10</v>
      </c>
      <c r="K118" s="2" t="str">
        <f t="shared" si="31"/>
        <v>(3,192,192)</v>
      </c>
      <c r="L118" s="2">
        <v>10</v>
      </c>
      <c r="M118" s="2" t="str">
        <f>"Reshape+TCL+TRL"</f>
        <v>Reshape+TCL+TRL</v>
      </c>
      <c r="N118" s="2" t="str">
        <f>"tcl::(2,1,1,40,2,2), trl:: (1,1,1,10,1,1,10)"</f>
        <v>tcl::(2,1,1,40,2,2), trl:: (1,1,1,10,1,1,10)</v>
      </c>
      <c r="O118" s="2" t="str">
        <f xml:space="preserve"> "(8,2,2)-type2"</f>
        <v>(8,2,2)-type2</v>
      </c>
      <c r="P118" s="2" t="str">
        <f>"(512,6,6) --&gt; (8,2,2,64,3,3) --&gt; (2,1,1,40,2,2) --&gt; (10)"</f>
        <v>(512,6,6) --&gt; (8,2,2,64,3,3) --&gt; (2,1,1,40,2,2) --&gt; (10)</v>
      </c>
      <c r="Q118" s="10">
        <f>2592 + 608</f>
        <v>3200</v>
      </c>
      <c r="R118" s="10">
        <f t="shared" ref="R118" si="45" xml:space="preserve"> R117 - Q117 + Q118</f>
        <v>20027584</v>
      </c>
      <c r="S118" s="2">
        <f xml:space="preserve"> (1-(Q118/Q113))*100</f>
        <v>99.996533940038248</v>
      </c>
      <c r="T118" s="2" t="s">
        <v>13</v>
      </c>
      <c r="U118" s="2" t="s">
        <v>12</v>
      </c>
      <c r="V118" s="2" t="s">
        <v>15</v>
      </c>
      <c r="W118" s="2" t="s">
        <v>17</v>
      </c>
    </row>
    <row r="119" spans="6:23" ht="22.5" thickTop="1" thickBot="1" x14ac:dyDescent="0.4">
      <c r="F119" s="7"/>
      <c r="G119" s="18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spans="6:23" ht="22.5" thickTop="1" thickBot="1" x14ac:dyDescent="0.4">
      <c r="F120" s="15"/>
      <c r="G120" s="20">
        <v>1</v>
      </c>
      <c r="H120" s="5" t="s">
        <v>130</v>
      </c>
      <c r="I120" s="2" t="str">
        <f xml:space="preserve"> "VGG19"</f>
        <v>VGG19</v>
      </c>
      <c r="J120" s="2" t="str">
        <f xml:space="preserve"> "TINY"</f>
        <v>TINY</v>
      </c>
      <c r="K120" s="2" t="str">
        <f t="shared" si="31"/>
        <v>(3,192,192)</v>
      </c>
      <c r="L120" s="2">
        <v>200</v>
      </c>
      <c r="M120" s="2" t="str">
        <f xml:space="preserve"> "Linear"</f>
        <v>Linear</v>
      </c>
      <c r="N120" s="2" t="s">
        <v>9</v>
      </c>
      <c r="O120" s="2" t="b">
        <f xml:space="preserve"> FALSE</f>
        <v>0</v>
      </c>
      <c r="P120" s="2" t="str">
        <f>"(512,6,6) --&gt; (4096) --&gt; (4096) --&gt; (200)"</f>
        <v>(512,6,6) --&gt; (4096) --&gt; (4096) --&gt; (200)</v>
      </c>
      <c r="Q120" s="10">
        <f>93102280</f>
        <v>93102280</v>
      </c>
      <c r="R120" s="10">
        <f>113126664</f>
        <v>113126664</v>
      </c>
      <c r="S120" s="2" t="s">
        <v>18</v>
      </c>
      <c r="T120" s="2" t="s">
        <v>13</v>
      </c>
      <c r="U120" s="2" t="s">
        <v>12</v>
      </c>
      <c r="V120" s="2" t="s">
        <v>15</v>
      </c>
      <c r="W120" s="2" t="s">
        <v>17</v>
      </c>
    </row>
    <row r="121" spans="6:23" ht="22.5" thickTop="1" thickBot="1" x14ac:dyDescent="0.4">
      <c r="F121" s="15"/>
      <c r="G121" s="20">
        <v>1</v>
      </c>
      <c r="H121" s="5" t="s">
        <v>131</v>
      </c>
      <c r="I121" s="2" t="str">
        <f t="shared" ref="I121:I125" si="46" xml:space="preserve"> "VGG19"</f>
        <v>VGG19</v>
      </c>
      <c r="J121" s="2" t="str">
        <f t="shared" ref="J121:J125" si="47" xml:space="preserve"> "TINY"</f>
        <v>TINY</v>
      </c>
      <c r="K121" s="2" t="str">
        <f t="shared" si="31"/>
        <v>(3,192,192)</v>
      </c>
      <c r="L121" s="2">
        <v>200</v>
      </c>
      <c r="M121" s="2" t="str">
        <f xml:space="preserve"> "TCL + TRL"</f>
        <v>TCL + TRL</v>
      </c>
      <c r="N121" s="2" t="str">
        <f>"tcl:: (350,4,4), trl:: (150,1,1,200)"</f>
        <v>tcl:: (350,4,4), trl:: (150,1,1,200)</v>
      </c>
      <c r="O121" s="2" t="b">
        <f xml:space="preserve"> FALSE</f>
        <v>0</v>
      </c>
      <c r="P121" s="2" t="str">
        <f>"(512,6,6) --&gt; (350,4,4) --&gt; (200)"</f>
        <v>(512,6,6) --&gt; (350,4,4) --&gt; (200)</v>
      </c>
      <c r="Q121" s="10">
        <f>179248 + 122508</f>
        <v>301756</v>
      </c>
      <c r="R121" s="10">
        <f xml:space="preserve"> R120 - Q120 + Q121</f>
        <v>20326140</v>
      </c>
      <c r="S121" s="2">
        <f xml:space="preserve"> (1-(Q121/Q120))*100</f>
        <v>99.675887636693744</v>
      </c>
      <c r="T121" s="2" t="s">
        <v>13</v>
      </c>
      <c r="U121" s="2" t="s">
        <v>12</v>
      </c>
      <c r="V121" s="2" t="s">
        <v>15</v>
      </c>
      <c r="W121" s="2" t="s">
        <v>17</v>
      </c>
    </row>
    <row r="122" spans="6:23" ht="22.5" thickTop="1" thickBot="1" x14ac:dyDescent="0.4">
      <c r="F122" s="15"/>
      <c r="G122" s="20">
        <v>1</v>
      </c>
      <c r="H122" s="5" t="s">
        <v>132</v>
      </c>
      <c r="I122" s="2" t="str">
        <f t="shared" si="46"/>
        <v>VGG19</v>
      </c>
      <c r="J122" s="2" t="str">
        <f t="shared" si="47"/>
        <v>TINY</v>
      </c>
      <c r="K122" s="2" t="str">
        <f t="shared" si="31"/>
        <v>(3,192,192)</v>
      </c>
      <c r="L122" s="2">
        <v>200</v>
      </c>
      <c r="M122" s="2" t="str">
        <f>"Reshape+TCL+TRL"</f>
        <v>Reshape+TCL+TRL</v>
      </c>
      <c r="N122" s="2" t="str">
        <f>"tcl::(1,1,1,100,2,2), trl:: (1,1,1,50,1,1,200)"</f>
        <v>tcl::(1,1,1,100,2,2), trl:: (1,1,1,50,1,1,200)</v>
      </c>
      <c r="O122" s="2" t="str">
        <f xml:space="preserve"> "(2,2,2)-type1"</f>
        <v>(2,2,2)-type1</v>
      </c>
      <c r="P122" s="2" t="str">
        <f>"(512,6,6) --&gt; (2,2,2,256,3,3) --&gt; (1,1,1,100,2,2) --&gt; (200)"</f>
        <v>(512,6,6) --&gt; (2,2,2,256,3,3) --&gt; (1,1,1,100,2,2) --&gt; (200)</v>
      </c>
      <c r="Q122" s="10">
        <f>25618 + 55007</f>
        <v>80625</v>
      </c>
      <c r="R122" s="10">
        <f>R121 -Q121 + Q122</f>
        <v>20105009</v>
      </c>
      <c r="S122" s="2">
        <f xml:space="preserve"> (1-(Q122/Q120))*100</f>
        <v>99.913401691129366</v>
      </c>
      <c r="T122" s="2" t="s">
        <v>13</v>
      </c>
      <c r="U122" s="2" t="s">
        <v>12</v>
      </c>
      <c r="V122" s="2" t="s">
        <v>15</v>
      </c>
      <c r="W122" s="2" t="s">
        <v>17</v>
      </c>
    </row>
    <row r="123" spans="6:23" ht="22.5" thickTop="1" thickBot="1" x14ac:dyDescent="0.4">
      <c r="F123" s="15"/>
      <c r="G123" s="20">
        <v>1</v>
      </c>
      <c r="H123" s="5" t="s">
        <v>133</v>
      </c>
      <c r="I123" s="2" t="str">
        <f t="shared" si="46"/>
        <v>VGG19</v>
      </c>
      <c r="J123" s="2" t="str">
        <f t="shared" si="47"/>
        <v>TINY</v>
      </c>
      <c r="K123" s="2" t="str">
        <f t="shared" si="31"/>
        <v>(3,192,192)</v>
      </c>
      <c r="L123" s="2">
        <v>200</v>
      </c>
      <c r="M123" s="2" t="str">
        <f>"Reshape+TCL+TRL"</f>
        <v>Reshape+TCL+TRL</v>
      </c>
      <c r="N123" s="2" t="str">
        <f>"tcl::(1,1,1,100,2,2), trl:: (1,1,1,50,1,1,200)"</f>
        <v>tcl::(1,1,1,100,2,2), trl:: (1,1,1,50,1,1,200)</v>
      </c>
      <c r="O123" s="2" t="str">
        <f xml:space="preserve"> "(2,2,2)-type2"</f>
        <v>(2,2,2)-type2</v>
      </c>
      <c r="P123" s="2" t="str">
        <f>"(512,6,6) --&gt; (2,2,2,256,3,3) --&gt; (1,1,1,100,2,2) --&gt; (200)"</f>
        <v>(512,6,6) --&gt; (2,2,2,256,3,3) --&gt; (1,1,1,100,2,2) --&gt; (200)</v>
      </c>
      <c r="Q123" s="10">
        <f>25618 + 55007</f>
        <v>80625</v>
      </c>
      <c r="R123" s="10">
        <f xml:space="preserve"> R122 - Q122 + Q123</f>
        <v>20105009</v>
      </c>
      <c r="S123" s="2">
        <f xml:space="preserve"> (1-(Q123/Q120))*100</f>
        <v>99.913401691129366</v>
      </c>
      <c r="T123" s="2" t="s">
        <v>13</v>
      </c>
      <c r="U123" s="2" t="s">
        <v>12</v>
      </c>
      <c r="V123" s="2" t="s">
        <v>15</v>
      </c>
      <c r="W123" s="2" t="s">
        <v>17</v>
      </c>
    </row>
    <row r="124" spans="6:23" ht="22.5" thickTop="1" thickBot="1" x14ac:dyDescent="0.4">
      <c r="F124" s="15"/>
      <c r="G124" s="21">
        <v>1</v>
      </c>
      <c r="H124" s="5" t="s">
        <v>134</v>
      </c>
      <c r="I124" s="2" t="str">
        <f t="shared" si="46"/>
        <v>VGG19</v>
      </c>
      <c r="J124" s="2" t="str">
        <f t="shared" si="47"/>
        <v>TINY</v>
      </c>
      <c r="K124" s="2" t="str">
        <f t="shared" si="31"/>
        <v>(3,192,192)</v>
      </c>
      <c r="L124" s="2">
        <v>200</v>
      </c>
      <c r="M124" s="2" t="str">
        <f>"Reshape+TCL+TRL"</f>
        <v>Reshape+TCL+TRL</v>
      </c>
      <c r="N124" s="2" t="str">
        <f>"tcl::(2,1,1,40,2,2), trl:: (1,1,1,10,1,1,200)"</f>
        <v>tcl::(2,1,1,40,2,2), trl:: (1,1,1,10,1,1,200)</v>
      </c>
      <c r="O124" s="2" t="str">
        <f xml:space="preserve"> "(8,2,2)-type1"</f>
        <v>(8,2,2)-type1</v>
      </c>
      <c r="P124" s="2" t="str">
        <f>"(512,6,6) --&gt; (8,2,2,64,3,3) --&gt; (2,1,1,40,2,2) --&gt; (200)"</f>
        <v>(512,6,6) --&gt; (8,2,2,64,3,3) --&gt; (2,1,1,40,2,2) --&gt; (200)</v>
      </c>
      <c r="Q124" s="10">
        <f>2592 + 42408</f>
        <v>45000</v>
      </c>
      <c r="R124" s="10">
        <f>R123 -Q123+ Q124</f>
        <v>20069384</v>
      </c>
      <c r="S124" s="2">
        <f xml:space="preserve"> (1-(Q124/Q120))*100</f>
        <v>99.951666060165238</v>
      </c>
      <c r="T124" s="2" t="s">
        <v>13</v>
      </c>
      <c r="U124" s="2" t="s">
        <v>12</v>
      </c>
      <c r="V124" s="2" t="s">
        <v>15</v>
      </c>
      <c r="W124" s="2" t="s">
        <v>17</v>
      </c>
    </row>
    <row r="125" spans="6:23" ht="22.5" thickTop="1" thickBot="1" x14ac:dyDescent="0.4">
      <c r="F125" s="15"/>
      <c r="G125" s="21">
        <v>1</v>
      </c>
      <c r="H125" s="5" t="s">
        <v>135</v>
      </c>
      <c r="I125" s="2" t="str">
        <f t="shared" si="46"/>
        <v>VGG19</v>
      </c>
      <c r="J125" s="2" t="str">
        <f t="shared" si="47"/>
        <v>TINY</v>
      </c>
      <c r="K125" s="2" t="str">
        <f t="shared" si="31"/>
        <v>(3,192,192)</v>
      </c>
      <c r="L125" s="2">
        <v>200</v>
      </c>
      <c r="M125" s="2" t="str">
        <f>"Reshape+TCL+TRL"</f>
        <v>Reshape+TCL+TRL</v>
      </c>
      <c r="N125" s="2" t="str">
        <f>"tcl::(2,1,1,40,2,2), trl:: (1,1,1,10,1,1,200)"</f>
        <v>tcl::(2,1,1,40,2,2), trl:: (1,1,1,10,1,1,200)</v>
      </c>
      <c r="O125" s="2" t="str">
        <f xml:space="preserve"> "(8,2,2)-type2"</f>
        <v>(8,2,2)-type2</v>
      </c>
      <c r="P125" s="2" t="str">
        <f>"(512,6,6) --&gt; (8,2,2,64,3,3) --&gt; (2,1,1,40,2,2) --&gt; (200)"</f>
        <v>(512,6,6) --&gt; (8,2,2,64,3,3) --&gt; (2,1,1,40,2,2) --&gt; (200)</v>
      </c>
      <c r="Q125" s="10">
        <f>2592 + 42408</f>
        <v>45000</v>
      </c>
      <c r="R125" s="10">
        <f t="shared" ref="R125" si="48" xml:space="preserve"> R124 - Q124 + Q125</f>
        <v>20069384</v>
      </c>
      <c r="S125" s="2">
        <f xml:space="preserve"> (1-(Q125/Q120))*100</f>
        <v>99.951666060165238</v>
      </c>
      <c r="T125" s="2" t="s">
        <v>13</v>
      </c>
      <c r="U125" s="2" t="s">
        <v>12</v>
      </c>
      <c r="V125" s="2" t="s">
        <v>15</v>
      </c>
      <c r="W125" s="2" t="s">
        <v>17</v>
      </c>
    </row>
    <row r="126" spans="6:23" ht="22.5" thickTop="1" thickBot="1" x14ac:dyDescent="0.4">
      <c r="F126" s="7"/>
      <c r="G126" s="18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spans="6:23" ht="22.5" thickTop="1" thickBot="1" x14ac:dyDescent="0.4">
      <c r="F127" s="15"/>
      <c r="G127" s="16"/>
      <c r="H127" s="5" t="s">
        <v>136</v>
      </c>
    </row>
    <row r="128" spans="6:23" ht="22.5" thickTop="1" thickBot="1" x14ac:dyDescent="0.4">
      <c r="F128" s="15"/>
      <c r="G128" s="16"/>
      <c r="H128" s="5" t="s">
        <v>137</v>
      </c>
    </row>
    <row r="129" spans="6:8" ht="22.5" thickTop="1" thickBot="1" x14ac:dyDescent="0.4">
      <c r="F129" s="15"/>
      <c r="G129" s="16"/>
      <c r="H129" s="5" t="s">
        <v>138</v>
      </c>
    </row>
    <row r="130" spans="6:8" ht="22.5" thickTop="1" thickBot="1" x14ac:dyDescent="0.4">
      <c r="F130" s="15"/>
      <c r="G130" s="16"/>
      <c r="H130" s="5" t="s">
        <v>139</v>
      </c>
    </row>
    <row r="131" spans="6:8" ht="22.5" thickTop="1" thickBot="1" x14ac:dyDescent="0.4">
      <c r="F131" s="15"/>
      <c r="G131" s="16"/>
      <c r="H131" s="5" t="s">
        <v>140</v>
      </c>
    </row>
    <row r="132" spans="6:8" ht="22.5" thickTop="1" thickBot="1" x14ac:dyDescent="0.4">
      <c r="F132" s="15"/>
      <c r="G132" s="16"/>
      <c r="H132" s="5" t="s">
        <v>141</v>
      </c>
    </row>
    <row r="133" spans="6:8" ht="21.75" thickTop="1" x14ac:dyDescent="0.35">
      <c r="H133" s="8"/>
    </row>
    <row r="134" spans="6:8" x14ac:dyDescent="0.35">
      <c r="H134" s="8"/>
    </row>
  </sheetData>
  <autoFilter ref="G1:G134"/>
  <pageMargins left="0.7" right="0.7" top="0.75" bottom="0.75" header="0.3" footer="0.3"/>
  <pageSetup orientation="portrait" r:id="rId1"/>
  <ignoredErrors>
    <ignoredError sqref="H135:H1048576 H1:H85" numberStoredAsText="1"/>
    <ignoredError sqref="R87 R101 R103 R96 R94 R89 R108 R110 R115 R117 R122 R1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2024-04-17T07:40:40Z</dcterms:modified>
</cp:coreProperties>
</file>