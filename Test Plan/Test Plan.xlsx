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filterPrivacy="1"/>
  <xr:revisionPtr revIDLastSave="0" documentId="8_{7AAE1C29-907E-475F-BB12-420AFAC48D2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st Plans" sheetId="4" r:id="rId1"/>
  </sheets>
  <definedNames>
    <definedName name="_xlnm._FilterDatabase" localSheetId="0" hidden="1">'Test Plans'!$G$1:$G$108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4" i="4" l="1"/>
  <c r="P105" i="4"/>
  <c r="P104" i="4"/>
  <c r="O105" i="4"/>
  <c r="N105" i="4"/>
  <c r="K105" i="4"/>
  <c r="O104" i="4"/>
  <c r="N104" i="4"/>
  <c r="K104" i="4"/>
  <c r="P102" i="4"/>
  <c r="P103" i="4"/>
  <c r="N103" i="4"/>
  <c r="N102" i="4"/>
  <c r="K103" i="4"/>
  <c r="M103" i="4"/>
  <c r="M102" i="4"/>
  <c r="J102" i="4"/>
  <c r="Q101" i="4"/>
  <c r="Q103" i="4"/>
  <c r="Q102" i="4"/>
  <c r="M100" i="4"/>
  <c r="N101" i="4"/>
  <c r="P101" i="4"/>
  <c r="D3" i="4" l="1"/>
  <c r="P98" i="4" l="1"/>
  <c r="Q98" i="4"/>
  <c r="Q97" i="4"/>
  <c r="P97" i="4"/>
  <c r="N98" i="4"/>
  <c r="N97" i="4"/>
  <c r="O98" i="4"/>
  <c r="O97" i="4"/>
  <c r="M97" i="4"/>
  <c r="M98" i="4"/>
  <c r="Q96" i="4"/>
  <c r="P96" i="4"/>
  <c r="N96" i="4"/>
  <c r="Q93" i="4" l="1"/>
  <c r="Q92" i="4"/>
  <c r="Q88" i="4"/>
  <c r="Q87" i="4"/>
  <c r="Q86" i="4"/>
  <c r="P93" i="4"/>
  <c r="P92" i="4"/>
  <c r="P88" i="4"/>
  <c r="P87" i="4"/>
  <c r="N93" i="4"/>
  <c r="N92" i="4"/>
  <c r="N88" i="4"/>
  <c r="N87" i="4"/>
  <c r="O92" i="4"/>
  <c r="O93" i="4"/>
  <c r="O88" i="4"/>
  <c r="O87" i="4"/>
  <c r="M93" i="4"/>
  <c r="M92" i="4"/>
  <c r="M88" i="4"/>
  <c r="M87" i="4"/>
  <c r="Q91" i="4" l="1"/>
  <c r="P91" i="4"/>
  <c r="N91" i="4"/>
  <c r="P86" i="4"/>
  <c r="N86" i="4"/>
  <c r="M33" i="4" l="1"/>
  <c r="P100" i="4" l="1"/>
  <c r="J101" i="4"/>
  <c r="J103" i="4"/>
  <c r="J100" i="4"/>
  <c r="O103" i="4"/>
  <c r="I103" i="4"/>
  <c r="O102" i="4"/>
  <c r="K102" i="4"/>
  <c r="I102" i="4"/>
  <c r="O101" i="4"/>
  <c r="M101" i="4"/>
  <c r="K101" i="4"/>
  <c r="I101" i="4"/>
  <c r="R100" i="4"/>
  <c r="Q100" i="4"/>
  <c r="O100" i="4"/>
  <c r="K100" i="4"/>
  <c r="I100" i="4"/>
  <c r="Q95" i="4"/>
  <c r="R95" i="4"/>
  <c r="P95" i="4"/>
  <c r="J96" i="4"/>
  <c r="J97" i="4"/>
  <c r="J98" i="4"/>
  <c r="J95" i="4"/>
  <c r="K98" i="4"/>
  <c r="I98" i="4"/>
  <c r="K97" i="4"/>
  <c r="I97" i="4"/>
  <c r="O96" i="4"/>
  <c r="M96" i="4"/>
  <c r="K96" i="4"/>
  <c r="I96" i="4"/>
  <c r="O95" i="4"/>
  <c r="M95" i="4"/>
  <c r="K95" i="4"/>
  <c r="I95" i="4"/>
  <c r="J90" i="4"/>
  <c r="J91" i="4"/>
  <c r="J92" i="4"/>
  <c r="J93" i="4"/>
  <c r="K93" i="4"/>
  <c r="I93" i="4"/>
  <c r="K92" i="4"/>
  <c r="I92" i="4"/>
  <c r="O91" i="4"/>
  <c r="M91" i="4"/>
  <c r="K91" i="4"/>
  <c r="I91" i="4"/>
  <c r="R90" i="4"/>
  <c r="Q90" i="4"/>
  <c r="P90" i="4"/>
  <c r="O90" i="4"/>
  <c r="M90" i="4"/>
  <c r="K90" i="4"/>
  <c r="I90" i="4"/>
  <c r="M86" i="4"/>
  <c r="P85" i="4"/>
  <c r="S105" i="4" l="1"/>
  <c r="S102" i="4"/>
  <c r="S101" i="4"/>
  <c r="R96" i="4"/>
  <c r="R97" i="4" s="1"/>
  <c r="R98" i="4" s="1"/>
  <c r="R101" i="4"/>
  <c r="R102" i="4" s="1"/>
  <c r="R103" i="4" s="1"/>
  <c r="S103" i="4"/>
  <c r="R91" i="4"/>
  <c r="R92" i="4" s="1"/>
  <c r="R93" i="4" s="1"/>
  <c r="S96" i="4"/>
  <c r="S97" i="4"/>
  <c r="S98" i="4"/>
  <c r="S91" i="4"/>
  <c r="S93" i="4"/>
  <c r="S92" i="4"/>
  <c r="Q85" i="4"/>
  <c r="R85" i="4"/>
  <c r="I86" i="4"/>
  <c r="I87" i="4"/>
  <c r="I88" i="4"/>
  <c r="I85" i="4"/>
  <c r="K88" i="4"/>
  <c r="J88" i="4"/>
  <c r="K87" i="4"/>
  <c r="J87" i="4"/>
  <c r="O86" i="4"/>
  <c r="K86" i="4"/>
  <c r="J86" i="4"/>
  <c r="O85" i="4"/>
  <c r="M85" i="4"/>
  <c r="K85" i="4"/>
  <c r="J85" i="4"/>
  <c r="R72" i="4"/>
  <c r="R59" i="4"/>
  <c r="R46" i="4"/>
  <c r="I73" i="4"/>
  <c r="I74" i="4"/>
  <c r="I75" i="4"/>
  <c r="I76" i="4"/>
  <c r="I77" i="4"/>
  <c r="I78" i="4"/>
  <c r="I79" i="4"/>
  <c r="I80" i="4"/>
  <c r="I81" i="4"/>
  <c r="I82" i="4"/>
  <c r="I83" i="4"/>
  <c r="I72" i="4"/>
  <c r="I60" i="4"/>
  <c r="I61" i="4"/>
  <c r="I62" i="4"/>
  <c r="I63" i="4"/>
  <c r="I64" i="4"/>
  <c r="I65" i="4"/>
  <c r="I66" i="4"/>
  <c r="I67" i="4"/>
  <c r="I68" i="4"/>
  <c r="I69" i="4"/>
  <c r="I70" i="4"/>
  <c r="I59" i="4"/>
  <c r="I47" i="4"/>
  <c r="I48" i="4"/>
  <c r="I49" i="4"/>
  <c r="I50" i="4"/>
  <c r="I51" i="4"/>
  <c r="I52" i="4"/>
  <c r="I53" i="4"/>
  <c r="I54" i="4"/>
  <c r="I55" i="4"/>
  <c r="I56" i="4"/>
  <c r="I57" i="4"/>
  <c r="I46" i="4"/>
  <c r="Q83" i="4"/>
  <c r="P83" i="4"/>
  <c r="O83" i="4"/>
  <c r="N83" i="4"/>
  <c r="M83" i="4"/>
  <c r="K83" i="4"/>
  <c r="J83" i="4"/>
  <c r="Q82" i="4"/>
  <c r="P82" i="4"/>
  <c r="O82" i="4"/>
  <c r="N82" i="4"/>
  <c r="M82" i="4"/>
  <c r="K82" i="4"/>
  <c r="J82" i="4"/>
  <c r="Q81" i="4"/>
  <c r="P81" i="4"/>
  <c r="O81" i="4"/>
  <c r="N81" i="4"/>
  <c r="M81" i="4"/>
  <c r="K81" i="4"/>
  <c r="J81" i="4"/>
  <c r="Q80" i="4"/>
  <c r="P80" i="4"/>
  <c r="O80" i="4"/>
  <c r="N80" i="4"/>
  <c r="M80" i="4"/>
  <c r="K80" i="4"/>
  <c r="J80" i="4"/>
  <c r="Q79" i="4"/>
  <c r="P79" i="4"/>
  <c r="O79" i="4"/>
  <c r="N79" i="4"/>
  <c r="M79" i="4"/>
  <c r="K79" i="4"/>
  <c r="J79" i="4"/>
  <c r="Q78" i="4"/>
  <c r="P78" i="4"/>
  <c r="O78" i="4"/>
  <c r="N78" i="4"/>
  <c r="M78" i="4"/>
  <c r="K78" i="4"/>
  <c r="J78" i="4"/>
  <c r="Q77" i="4"/>
  <c r="P77" i="4"/>
  <c r="O77" i="4"/>
  <c r="N77" i="4"/>
  <c r="M77" i="4"/>
  <c r="K77" i="4"/>
  <c r="J77" i="4"/>
  <c r="Q76" i="4"/>
  <c r="P76" i="4"/>
  <c r="O76" i="4"/>
  <c r="N76" i="4"/>
  <c r="M76" i="4"/>
  <c r="K76" i="4"/>
  <c r="J76" i="4"/>
  <c r="Q75" i="4"/>
  <c r="P75" i="4"/>
  <c r="O75" i="4"/>
  <c r="N75" i="4"/>
  <c r="M75" i="4"/>
  <c r="K75" i="4"/>
  <c r="J75" i="4"/>
  <c r="Q74" i="4"/>
  <c r="P74" i="4"/>
  <c r="O74" i="4"/>
  <c r="N74" i="4"/>
  <c r="M74" i="4"/>
  <c r="K74" i="4"/>
  <c r="J74" i="4"/>
  <c r="Q73" i="4"/>
  <c r="P73" i="4"/>
  <c r="O73" i="4"/>
  <c r="N73" i="4"/>
  <c r="M73" i="4"/>
  <c r="K73" i="4"/>
  <c r="J73" i="4"/>
  <c r="Q72" i="4"/>
  <c r="P72" i="4"/>
  <c r="O72" i="4"/>
  <c r="M72" i="4"/>
  <c r="K72" i="4"/>
  <c r="J72" i="4"/>
  <c r="Q70" i="4"/>
  <c r="P70" i="4"/>
  <c r="O70" i="4"/>
  <c r="N70" i="4"/>
  <c r="M70" i="4"/>
  <c r="K70" i="4"/>
  <c r="J70" i="4"/>
  <c r="Q69" i="4"/>
  <c r="P69" i="4"/>
  <c r="O69" i="4"/>
  <c r="N69" i="4"/>
  <c r="M69" i="4"/>
  <c r="K69" i="4"/>
  <c r="J69" i="4"/>
  <c r="Q68" i="4"/>
  <c r="P68" i="4"/>
  <c r="O68" i="4"/>
  <c r="N68" i="4"/>
  <c r="M68" i="4"/>
  <c r="K68" i="4"/>
  <c r="J68" i="4"/>
  <c r="Q67" i="4"/>
  <c r="P67" i="4"/>
  <c r="O67" i="4"/>
  <c r="N67" i="4"/>
  <c r="M67" i="4"/>
  <c r="K67" i="4"/>
  <c r="J67" i="4"/>
  <c r="Q66" i="4"/>
  <c r="P66" i="4"/>
  <c r="O66" i="4"/>
  <c r="N66" i="4"/>
  <c r="M66" i="4"/>
  <c r="K66" i="4"/>
  <c r="J66" i="4"/>
  <c r="Q65" i="4"/>
  <c r="P65" i="4"/>
  <c r="O65" i="4"/>
  <c r="N65" i="4"/>
  <c r="M65" i="4"/>
  <c r="K65" i="4"/>
  <c r="J65" i="4"/>
  <c r="Q64" i="4"/>
  <c r="P64" i="4"/>
  <c r="O64" i="4"/>
  <c r="N64" i="4"/>
  <c r="M64" i="4"/>
  <c r="K64" i="4"/>
  <c r="J64" i="4"/>
  <c r="Q63" i="4"/>
  <c r="P63" i="4"/>
  <c r="O63" i="4"/>
  <c r="N63" i="4"/>
  <c r="M63" i="4"/>
  <c r="K63" i="4"/>
  <c r="J63" i="4"/>
  <c r="Q62" i="4"/>
  <c r="P62" i="4"/>
  <c r="O62" i="4"/>
  <c r="N62" i="4"/>
  <c r="M62" i="4"/>
  <c r="K62" i="4"/>
  <c r="J62" i="4"/>
  <c r="Q61" i="4"/>
  <c r="P61" i="4"/>
  <c r="O61" i="4"/>
  <c r="N61" i="4"/>
  <c r="M61" i="4"/>
  <c r="K61" i="4"/>
  <c r="J61" i="4"/>
  <c r="Q60" i="4"/>
  <c r="P60" i="4"/>
  <c r="O60" i="4"/>
  <c r="N60" i="4"/>
  <c r="M60" i="4"/>
  <c r="K60" i="4"/>
  <c r="J60" i="4"/>
  <c r="Q59" i="4"/>
  <c r="P59" i="4"/>
  <c r="O59" i="4"/>
  <c r="M59" i="4"/>
  <c r="K59" i="4"/>
  <c r="J59" i="4"/>
  <c r="Q57" i="4"/>
  <c r="P57" i="4"/>
  <c r="O57" i="4"/>
  <c r="N57" i="4"/>
  <c r="M57" i="4"/>
  <c r="K57" i="4"/>
  <c r="J57" i="4"/>
  <c r="Q56" i="4"/>
  <c r="P56" i="4"/>
  <c r="O56" i="4"/>
  <c r="N56" i="4"/>
  <c r="M56" i="4"/>
  <c r="K56" i="4"/>
  <c r="J56" i="4"/>
  <c r="Q55" i="4"/>
  <c r="P55" i="4"/>
  <c r="O55" i="4"/>
  <c r="N55" i="4"/>
  <c r="M55" i="4"/>
  <c r="K55" i="4"/>
  <c r="J55" i="4"/>
  <c r="Q54" i="4"/>
  <c r="P54" i="4"/>
  <c r="O54" i="4"/>
  <c r="N54" i="4"/>
  <c r="M54" i="4"/>
  <c r="K54" i="4"/>
  <c r="J54" i="4"/>
  <c r="Q53" i="4"/>
  <c r="P53" i="4"/>
  <c r="O53" i="4"/>
  <c r="N53" i="4"/>
  <c r="M53" i="4"/>
  <c r="K53" i="4"/>
  <c r="J53" i="4"/>
  <c r="Q52" i="4"/>
  <c r="P52" i="4"/>
  <c r="O52" i="4"/>
  <c r="N52" i="4"/>
  <c r="M52" i="4"/>
  <c r="K52" i="4"/>
  <c r="J52" i="4"/>
  <c r="Q51" i="4"/>
  <c r="P51" i="4"/>
  <c r="O51" i="4"/>
  <c r="N51" i="4"/>
  <c r="M51" i="4"/>
  <c r="K51" i="4"/>
  <c r="J51" i="4"/>
  <c r="Q50" i="4"/>
  <c r="P50" i="4"/>
  <c r="O50" i="4"/>
  <c r="N50" i="4"/>
  <c r="M50" i="4"/>
  <c r="K50" i="4"/>
  <c r="J50" i="4"/>
  <c r="Q49" i="4"/>
  <c r="P49" i="4"/>
  <c r="O49" i="4"/>
  <c r="N49" i="4"/>
  <c r="M49" i="4"/>
  <c r="K49" i="4"/>
  <c r="J49" i="4"/>
  <c r="Q48" i="4"/>
  <c r="P48" i="4"/>
  <c r="O48" i="4"/>
  <c r="N48" i="4"/>
  <c r="M48" i="4"/>
  <c r="K48" i="4"/>
  <c r="J48" i="4"/>
  <c r="Q47" i="4"/>
  <c r="P47" i="4"/>
  <c r="O47" i="4"/>
  <c r="N47" i="4"/>
  <c r="M47" i="4"/>
  <c r="K47" i="4"/>
  <c r="J47" i="4"/>
  <c r="Q46" i="4"/>
  <c r="P46" i="4"/>
  <c r="O46" i="4"/>
  <c r="M46" i="4"/>
  <c r="K46" i="4"/>
  <c r="J46" i="4"/>
  <c r="N17" i="4"/>
  <c r="N18" i="4"/>
  <c r="N30" i="4"/>
  <c r="N31" i="4"/>
  <c r="Q44" i="4"/>
  <c r="Q43" i="4"/>
  <c r="N43" i="4"/>
  <c r="N44" i="4"/>
  <c r="Q42" i="4"/>
  <c r="Q41" i="4"/>
  <c r="N42" i="4"/>
  <c r="N41" i="4"/>
  <c r="Q40" i="4"/>
  <c r="Q39" i="4"/>
  <c r="N40" i="4"/>
  <c r="N39" i="4"/>
  <c r="Q38" i="4"/>
  <c r="Q37" i="4"/>
  <c r="N38" i="4"/>
  <c r="N37" i="4"/>
  <c r="Q36" i="4"/>
  <c r="N36" i="4"/>
  <c r="Q35" i="4"/>
  <c r="N35" i="4"/>
  <c r="N34" i="4"/>
  <c r="Q34" i="4"/>
  <c r="P44" i="4"/>
  <c r="P43" i="4"/>
  <c r="P42" i="4"/>
  <c r="P41" i="4"/>
  <c r="P40" i="4"/>
  <c r="P39" i="4"/>
  <c r="P38" i="4"/>
  <c r="P37" i="4"/>
  <c r="P36" i="4"/>
  <c r="P35" i="4"/>
  <c r="P34" i="4"/>
  <c r="R33" i="4"/>
  <c r="Q33" i="4"/>
  <c r="P33" i="4"/>
  <c r="J34" i="4"/>
  <c r="J35" i="4"/>
  <c r="J36" i="4"/>
  <c r="J37" i="4"/>
  <c r="J38" i="4"/>
  <c r="J39" i="4"/>
  <c r="J40" i="4"/>
  <c r="J41" i="4"/>
  <c r="J42" i="4"/>
  <c r="J43" i="4"/>
  <c r="J44" i="4"/>
  <c r="J33" i="4"/>
  <c r="O44" i="4"/>
  <c r="M44" i="4"/>
  <c r="K44" i="4"/>
  <c r="I44" i="4"/>
  <c r="O43" i="4"/>
  <c r="M43" i="4"/>
  <c r="K43" i="4"/>
  <c r="I43" i="4"/>
  <c r="O42" i="4"/>
  <c r="M42" i="4"/>
  <c r="K42" i="4"/>
  <c r="I42" i="4"/>
  <c r="O41" i="4"/>
  <c r="M41" i="4"/>
  <c r="K41" i="4"/>
  <c r="I41" i="4"/>
  <c r="O40" i="4"/>
  <c r="M40" i="4"/>
  <c r="K40" i="4"/>
  <c r="I40" i="4"/>
  <c r="O39" i="4"/>
  <c r="M39" i="4"/>
  <c r="K39" i="4"/>
  <c r="I39" i="4"/>
  <c r="O38" i="4"/>
  <c r="M38" i="4"/>
  <c r="K38" i="4"/>
  <c r="I38" i="4"/>
  <c r="O37" i="4"/>
  <c r="M37" i="4"/>
  <c r="K37" i="4"/>
  <c r="I37" i="4"/>
  <c r="O36" i="4"/>
  <c r="M36" i="4"/>
  <c r="K36" i="4"/>
  <c r="I36" i="4"/>
  <c r="O35" i="4"/>
  <c r="M35" i="4"/>
  <c r="K35" i="4"/>
  <c r="I35" i="4"/>
  <c r="O34" i="4"/>
  <c r="M34" i="4"/>
  <c r="K34" i="4"/>
  <c r="I34" i="4"/>
  <c r="O33" i="4"/>
  <c r="K33" i="4"/>
  <c r="I33" i="4"/>
  <c r="J21" i="4"/>
  <c r="J22" i="4"/>
  <c r="J23" i="4"/>
  <c r="J24" i="4"/>
  <c r="J25" i="4"/>
  <c r="J26" i="4"/>
  <c r="J27" i="4"/>
  <c r="J28" i="4"/>
  <c r="J29" i="4"/>
  <c r="J30" i="4"/>
  <c r="J31" i="4"/>
  <c r="J20" i="4"/>
  <c r="Q31" i="4"/>
  <c r="P31" i="4"/>
  <c r="O31" i="4"/>
  <c r="M31" i="4"/>
  <c r="K31" i="4"/>
  <c r="I31" i="4"/>
  <c r="Q30" i="4"/>
  <c r="P30" i="4"/>
  <c r="O30" i="4"/>
  <c r="M30" i="4"/>
  <c r="K30" i="4"/>
  <c r="I30" i="4"/>
  <c r="Q29" i="4"/>
  <c r="P29" i="4"/>
  <c r="O29" i="4"/>
  <c r="N29" i="4"/>
  <c r="M29" i="4"/>
  <c r="K29" i="4"/>
  <c r="I29" i="4"/>
  <c r="Q28" i="4"/>
  <c r="P28" i="4"/>
  <c r="O28" i="4"/>
  <c r="N28" i="4"/>
  <c r="M28" i="4"/>
  <c r="K28" i="4"/>
  <c r="I28" i="4"/>
  <c r="Q27" i="4"/>
  <c r="P27" i="4"/>
  <c r="O27" i="4"/>
  <c r="N27" i="4"/>
  <c r="M27" i="4"/>
  <c r="K27" i="4"/>
  <c r="I27" i="4"/>
  <c r="Q26" i="4"/>
  <c r="P26" i="4"/>
  <c r="O26" i="4"/>
  <c r="N26" i="4"/>
  <c r="M26" i="4"/>
  <c r="K26" i="4"/>
  <c r="I26" i="4"/>
  <c r="Q25" i="4"/>
  <c r="P25" i="4"/>
  <c r="O25" i="4"/>
  <c r="N25" i="4"/>
  <c r="M25" i="4"/>
  <c r="K25" i="4"/>
  <c r="I25" i="4"/>
  <c r="Q24" i="4"/>
  <c r="P24" i="4"/>
  <c r="O24" i="4"/>
  <c r="N24" i="4"/>
  <c r="M24" i="4"/>
  <c r="K24" i="4"/>
  <c r="I24" i="4"/>
  <c r="Q23" i="4"/>
  <c r="P23" i="4"/>
  <c r="O23" i="4"/>
  <c r="N23" i="4"/>
  <c r="M23" i="4"/>
  <c r="K23" i="4"/>
  <c r="I23" i="4"/>
  <c r="Q22" i="4"/>
  <c r="P22" i="4"/>
  <c r="O22" i="4"/>
  <c r="N22" i="4"/>
  <c r="M22" i="4"/>
  <c r="K22" i="4"/>
  <c r="I22" i="4"/>
  <c r="Q21" i="4"/>
  <c r="P21" i="4"/>
  <c r="O21" i="4"/>
  <c r="N21" i="4"/>
  <c r="M21" i="4"/>
  <c r="K21" i="4"/>
  <c r="I21" i="4"/>
  <c r="R20" i="4"/>
  <c r="Q20" i="4"/>
  <c r="P20" i="4"/>
  <c r="O20" i="4"/>
  <c r="M20" i="4"/>
  <c r="K20" i="4"/>
  <c r="I20" i="4"/>
  <c r="Q18" i="4"/>
  <c r="Q17" i="4"/>
  <c r="Q16" i="4"/>
  <c r="Q15" i="4"/>
  <c r="N16" i="4"/>
  <c r="N15" i="4"/>
  <c r="Q14" i="4"/>
  <c r="Q13" i="4"/>
  <c r="Q12" i="4"/>
  <c r="Q11" i="4"/>
  <c r="P18" i="4"/>
  <c r="P17" i="4"/>
  <c r="P16" i="4"/>
  <c r="P15" i="4"/>
  <c r="O18" i="4"/>
  <c r="O17" i="4"/>
  <c r="O16" i="4"/>
  <c r="O15" i="4"/>
  <c r="S40" i="4" l="1"/>
  <c r="S68" i="4"/>
  <c r="S38" i="4"/>
  <c r="R47" i="4"/>
  <c r="R48" i="4" s="1"/>
  <c r="R49" i="4" s="1"/>
  <c r="R50" i="4" s="1"/>
  <c r="R51" i="4" s="1"/>
  <c r="R52" i="4" s="1"/>
  <c r="R53" i="4" s="1"/>
  <c r="R54" i="4" s="1"/>
  <c r="R55" i="4" s="1"/>
  <c r="R56" i="4" s="1"/>
  <c r="R57" i="4" s="1"/>
  <c r="S30" i="4"/>
  <c r="R60" i="4"/>
  <c r="R61" i="4" s="1"/>
  <c r="R62" i="4" s="1"/>
  <c r="R63" i="4" s="1"/>
  <c r="R64" i="4" s="1"/>
  <c r="R65" i="4" s="1"/>
  <c r="R66" i="4" s="1"/>
  <c r="R67" i="4" s="1"/>
  <c r="R68" i="4" s="1"/>
  <c r="R69" i="4" s="1"/>
  <c r="R70" i="4" s="1"/>
  <c r="R73" i="4"/>
  <c r="R74" i="4" s="1"/>
  <c r="R75" i="4" s="1"/>
  <c r="R76" i="4" s="1"/>
  <c r="R77" i="4" s="1"/>
  <c r="R78" i="4" s="1"/>
  <c r="R79" i="4" s="1"/>
  <c r="R80" i="4" s="1"/>
  <c r="R81" i="4" s="1"/>
  <c r="R82" i="4" s="1"/>
  <c r="R83" i="4" s="1"/>
  <c r="S42" i="4"/>
  <c r="R34" i="4"/>
  <c r="R35" i="4" s="1"/>
  <c r="R36" i="4" s="1"/>
  <c r="R37" i="4" s="1"/>
  <c r="R38" i="4" s="1"/>
  <c r="R39" i="4" s="1"/>
  <c r="R40" i="4" s="1"/>
  <c r="R41" i="4" s="1"/>
  <c r="R42" i="4" s="1"/>
  <c r="R43" i="4" s="1"/>
  <c r="R44" i="4" s="1"/>
  <c r="S43" i="4"/>
  <c r="S63" i="4"/>
  <c r="S67" i="4"/>
  <c r="S36" i="4"/>
  <c r="S44" i="4"/>
  <c r="S34" i="4"/>
  <c r="S61" i="4"/>
  <c r="R86" i="4"/>
  <c r="R87" i="4" s="1"/>
  <c r="R88" i="4" s="1"/>
  <c r="S31" i="4"/>
  <c r="R21" i="4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S49" i="4"/>
  <c r="S53" i="4"/>
  <c r="S57" i="4"/>
  <c r="S70" i="4"/>
  <c r="S75" i="4"/>
  <c r="S79" i="4"/>
  <c r="S83" i="4"/>
  <c r="S21" i="4"/>
  <c r="S25" i="4"/>
  <c r="S29" i="4"/>
  <c r="S23" i="4"/>
  <c r="S27" i="4"/>
  <c r="S65" i="4"/>
  <c r="S69" i="4"/>
  <c r="S54" i="4"/>
  <c r="S47" i="4"/>
  <c r="S51" i="4"/>
  <c r="S55" i="4"/>
  <c r="S80" i="4"/>
  <c r="S73" i="4"/>
  <c r="S77" i="4"/>
  <c r="S81" i="4"/>
  <c r="S86" i="4"/>
  <c r="S88" i="4"/>
  <c r="S87" i="4"/>
  <c r="S74" i="4"/>
  <c r="S78" i="4"/>
  <c r="S82" i="4"/>
  <c r="S76" i="4"/>
  <c r="S60" i="4"/>
  <c r="S62" i="4"/>
  <c r="S64" i="4"/>
  <c r="S66" i="4"/>
  <c r="S52" i="4"/>
  <c r="S56" i="4"/>
  <c r="S48" i="4"/>
  <c r="S50" i="4"/>
  <c r="S35" i="4"/>
  <c r="S37" i="4"/>
  <c r="S39" i="4"/>
  <c r="S41" i="4"/>
  <c r="S26" i="4"/>
  <c r="S28" i="4"/>
  <c r="S22" i="4"/>
  <c r="S24" i="4"/>
  <c r="I16" i="4"/>
  <c r="J16" i="4"/>
  <c r="K16" i="4"/>
  <c r="M16" i="4"/>
  <c r="I17" i="4"/>
  <c r="J17" i="4"/>
  <c r="K17" i="4"/>
  <c r="M17" i="4"/>
  <c r="I18" i="4"/>
  <c r="J18" i="4"/>
  <c r="K18" i="4"/>
  <c r="M18" i="4"/>
  <c r="I15" i="4"/>
  <c r="J15" i="4"/>
  <c r="K15" i="4"/>
  <c r="M15" i="4"/>
  <c r="P14" i="4"/>
  <c r="I13" i="4"/>
  <c r="J13" i="4"/>
  <c r="K13" i="4"/>
  <c r="M13" i="4"/>
  <c r="I14" i="4"/>
  <c r="J14" i="4"/>
  <c r="K14" i="4"/>
  <c r="M14" i="4"/>
  <c r="P12" i="4"/>
  <c r="P13" i="4"/>
  <c r="P11" i="4"/>
  <c r="O13" i="4"/>
  <c r="O14" i="4"/>
  <c r="O12" i="4"/>
  <c r="O11" i="4"/>
  <c r="N14" i="4"/>
  <c r="N13" i="4"/>
  <c r="N12" i="4"/>
  <c r="N11" i="4"/>
  <c r="N10" i="4"/>
  <c r="N9" i="4"/>
  <c r="N8" i="4"/>
  <c r="M8" i="4"/>
  <c r="M12" i="4"/>
  <c r="M11" i="4"/>
  <c r="Q10" i="4"/>
  <c r="Q8" i="4"/>
  <c r="Q9" i="4"/>
  <c r="P8" i="4"/>
  <c r="P9" i="4"/>
  <c r="P10" i="4"/>
  <c r="O8" i="4"/>
  <c r="O9" i="4"/>
  <c r="O10" i="4"/>
  <c r="O7" i="4"/>
  <c r="M10" i="4"/>
  <c r="M9" i="4"/>
  <c r="M7" i="4"/>
  <c r="K8" i="4"/>
  <c r="K9" i="4"/>
  <c r="K10" i="4"/>
  <c r="K11" i="4"/>
  <c r="K12" i="4"/>
  <c r="I8" i="4"/>
  <c r="J8" i="4"/>
  <c r="I9" i="4"/>
  <c r="J9" i="4"/>
  <c r="I10" i="4"/>
  <c r="J10" i="4"/>
  <c r="I11" i="4"/>
  <c r="J11" i="4"/>
  <c r="I12" i="4"/>
  <c r="J12" i="4"/>
  <c r="J7" i="4"/>
  <c r="I7" i="4"/>
  <c r="R7" i="4"/>
  <c r="Q7" i="4"/>
  <c r="S15" i="4" s="1"/>
  <c r="K7" i="4"/>
  <c r="P7" i="4"/>
  <c r="S12" i="4" l="1"/>
  <c r="S18" i="4"/>
  <c r="S11" i="4"/>
  <c r="S13" i="4"/>
  <c r="S16" i="4"/>
  <c r="S17" i="4"/>
  <c r="S14" i="4"/>
  <c r="S8" i="4"/>
  <c r="R8" i="4"/>
  <c r="R9" i="4" s="1"/>
  <c r="R10" i="4" s="1"/>
  <c r="R11" i="4" s="1"/>
  <c r="R12" i="4" s="1"/>
  <c r="R13" i="4" s="1"/>
  <c r="R14" i="4" s="1"/>
  <c r="R15" i="4" s="1"/>
  <c r="R16" i="4" s="1"/>
  <c r="R17" i="4" s="1"/>
  <c r="R18" i="4" s="1"/>
  <c r="S9" i="4"/>
  <c r="S10" i="4"/>
</calcChain>
</file>

<file path=xl/sharedStrings.xml><?xml version="1.0" encoding="utf-8"?>
<sst xmlns="http://schemas.openxmlformats.org/spreadsheetml/2006/main" count="504" uniqueCount="132">
  <si>
    <t>Dataset</t>
  </si>
  <si>
    <t>TEST ID</t>
  </si>
  <si>
    <t>Model</t>
  </si>
  <si>
    <t>Classifier In/out</t>
  </si>
  <si>
    <t>Classifier Parameter</t>
  </si>
  <si>
    <t>Classifier</t>
  </si>
  <si>
    <t>Total Parameter</t>
  </si>
  <si>
    <t>Input shape</t>
  </si>
  <si>
    <t>Classifier ranks</t>
  </si>
  <si>
    <t>NaN</t>
  </si>
  <si>
    <t>Transfter</t>
  </si>
  <si>
    <t>Freeze</t>
  </si>
  <si>
    <t>30 Epoch</t>
  </si>
  <si>
    <t>5 Epoch</t>
  </si>
  <si>
    <t>Optimizer</t>
  </si>
  <si>
    <t>Adam</t>
  </si>
  <si>
    <t>Optimizer Info</t>
  </si>
  <si>
    <t>Default</t>
  </si>
  <si>
    <t>BASE LINE</t>
  </si>
  <si>
    <t>Reshaped</t>
  </si>
  <si>
    <t>Saving Memory- Classifier</t>
  </si>
  <si>
    <t>Classes</t>
  </si>
  <si>
    <t>STATUS</t>
  </si>
  <si>
    <t>Done</t>
  </si>
  <si>
    <t>Pending</t>
  </si>
  <si>
    <t>Won't Do</t>
  </si>
  <si>
    <t>Status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</si>
  <si>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</si>
  <si>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</si>
  <si>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</si>
  <si>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</si>
  <si>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</si>
  <si>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</si>
  <si>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</si>
  <si>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</si>
  <si>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</si>
  <si>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</si>
  <si>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</si>
  <si>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</si>
  <si>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</si>
  <si>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</si>
  <si>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</si>
  <si>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</si>
  <si>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</si>
  <si>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</si>
  <si>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</si>
  <si>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</si>
  <si>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</si>
  <si>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</si>
  <si>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</si>
  <si>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</si>
  <si>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</si>
  <si>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</si>
  <si>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</si>
  <si>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</si>
  <si>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</si>
  <si>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</si>
  <si>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</si>
  <si>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</si>
  <si>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</si>
  <si>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</si>
  <si>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</si>
  <si>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</si>
  <si>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</si>
  <si>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</si>
  <si>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</si>
  <si>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</si>
  <si>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</si>
  <si>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</si>
  <si>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</si>
  <si>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</si>
  <si>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</si>
  <si>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</si>
  <si>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</si>
  <si>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</si>
  <si>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</si>
  <si>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</si>
  <si>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</si>
  <si>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</si>
  <si>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</si>
  <si>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</si>
  <si>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</si>
  <si>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</si>
  <si>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</si>
  <si>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</si>
  <si>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</si>
  <si>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</si>
  <si>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</si>
  <si>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</si>
  <si>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</si>
  <si>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</si>
  <si>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</si>
  <si>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</si>
  <si>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</si>
  <si>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</si>
  <si>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</si>
  <si>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</si>
  <si>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</si>
  <si>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</si>
  <si>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</si>
  <si>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</si>
  <si>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</si>
  <si>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</si>
  <si>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</si>
  <si>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</si>
  <si>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</si>
  <si>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</si>
  <si>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Count</t>
  </si>
  <si>
    <t>0 Epoch</t>
  </si>
  <si>
    <t>10 Epoch</t>
  </si>
  <si>
    <t>Avoid Catastrophic Forgetting</t>
  </si>
  <si>
    <t>???</t>
  </si>
  <si>
    <t>50 Epoch</t>
  </si>
  <si>
    <t>15 Epoch</t>
  </si>
  <si>
    <t>081</t>
  </si>
  <si>
    <t>082</t>
  </si>
  <si>
    <t>083</t>
  </si>
  <si>
    <t>084</t>
  </si>
  <si>
    <t>20 Epoch</t>
  </si>
  <si>
    <t>085</t>
  </si>
  <si>
    <t>086</t>
  </si>
  <si>
    <t>087</t>
  </si>
  <si>
    <t>088</t>
  </si>
  <si>
    <t>Test top_1</t>
  </si>
  <si>
    <t>Train top_1</t>
  </si>
  <si>
    <t>Train top5</t>
  </si>
  <si>
    <t>Test top_5</t>
  </si>
  <si>
    <t>089</t>
  </si>
  <si>
    <t>090</t>
  </si>
  <si>
    <t>TINY</t>
  </si>
  <si>
    <t>Reshape+Dropout+TCL+TRL</t>
  </si>
  <si>
    <t>VGG19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</si>
</sst>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rgb="FF92D05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49" fontId="1" fillId="5" borderId="1" xfId="0" applyNumberFormat="1" applyFont="1" applyFill="1" applyBorder="1" applyAlignment="1">
      <alignment horizontal="center" wrapText="1"/>
    </xf>
    <xf numFmtId="49" fontId="2" fillId="0" borderId="2" xfId="0" applyNumberFormat="1" applyFont="1" applyBorder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49" fontId="3" fillId="0" borderId="0" xfId="0" applyNumberFormat="1" applyFont="1" applyBorder="1" applyAlignment="1">
      <alignment horizontal="center" wrapText="1"/>
    </xf>
    <xf numFmtId="3" fontId="1" fillId="5" borderId="1" xfId="0" applyNumberFormat="1" applyFont="1" applyFill="1" applyBorder="1" applyAlignment="1">
      <alignment horizontal="center" wrapText="1"/>
    </xf>
    <xf numFmtId="3" fontId="2" fillId="0" borderId="0" xfId="0" applyNumberFormat="1" applyFont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49" fontId="2" fillId="6" borderId="7" xfId="0" applyNumberFormat="1" applyFont="1" applyFill="1" applyBorder="1" applyAlignment="1">
      <alignment horizontal="center" wrapText="1"/>
    </xf>
    <xf numFmtId="0" fontId="2" fillId="6" borderId="8" xfId="0" applyFont="1" applyFill="1" applyBorder="1" applyAlignment="1">
      <alignment horizontal="center" wrapText="1"/>
    </xf>
    <xf numFmtId="3" fontId="2" fillId="0" borderId="0" xfId="0" applyNumberFormat="1" applyFont="1" applyBorder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0" fontId="4" fillId="4" borderId="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108"/>
  <sheetViews>
    <sheetView tabSelected="1" topLeftCell="P86" zoomScale="55" zoomScaleNormal="55" workbookViewId="0">
      <selection activeCell="S113" sqref="S113"/>
    </sheetView>
  </sheetViews>
  <sheetFormatPr defaultColWidth="9.109375" defaultRowHeight="21" x14ac:dyDescent="0.4"/>
  <cols>
    <col min="1" max="1" width="9.109375" style="2"/>
    <col min="2" max="2" width="9.33203125" style="2" customWidth="1"/>
    <col min="3" max="3" width="18.109375" style="2" customWidth="1"/>
    <col min="4" max="4" width="21.109375" style="2" customWidth="1"/>
    <col min="5" max="6" width="9.109375" style="2"/>
    <col min="7" max="7" width="16.88671875" style="2" customWidth="1"/>
    <col min="8" max="8" width="31.33203125" style="6" customWidth="1"/>
    <col min="9" max="12" width="18.44140625" style="2" customWidth="1"/>
    <col min="13" max="13" width="45.5546875" style="2" customWidth="1"/>
    <col min="14" max="14" width="65.109375" style="2" customWidth="1"/>
    <col min="15" max="15" width="26.44140625" style="2" customWidth="1"/>
    <col min="16" max="16" width="129" style="2" customWidth="1"/>
    <col min="17" max="17" width="27.44140625" style="10" customWidth="1"/>
    <col min="18" max="18" width="28.109375" style="10" customWidth="1"/>
    <col min="19" max="19" width="36.44140625" style="2" customWidth="1"/>
    <col min="20" max="21" width="18.33203125" style="2" customWidth="1"/>
    <col min="22" max="22" width="18.109375" style="2" customWidth="1"/>
    <col min="23" max="23" width="25.109375" style="2" customWidth="1"/>
    <col min="24" max="24" width="28.21875" style="2" customWidth="1"/>
    <col min="25" max="25" width="22.77734375" style="2" customWidth="1"/>
    <col min="26" max="26" width="20.33203125" style="2" customWidth="1"/>
    <col min="27" max="27" width="15.44140625" style="2" customWidth="1"/>
    <col min="28" max="16384" width="9.109375" style="2"/>
  </cols>
  <sheetData>
    <row r="1" spans="2:27" ht="21.6" thickBot="1" x14ac:dyDescent="0.45"/>
    <row r="2" spans="2:27" ht="22.2" thickTop="1" thickBot="1" x14ac:dyDescent="0.45">
      <c r="C2" s="14" t="s">
        <v>26</v>
      </c>
      <c r="D2" s="14" t="s">
        <v>107</v>
      </c>
    </row>
    <row r="3" spans="2:27" ht="22.2" thickTop="1" thickBot="1" x14ac:dyDescent="0.45">
      <c r="B3" s="13"/>
      <c r="C3" s="14" t="s">
        <v>23</v>
      </c>
      <c r="D3" s="14">
        <f>84</f>
        <v>84</v>
      </c>
    </row>
    <row r="4" spans="2:27" ht="22.2" thickTop="1" thickBot="1" x14ac:dyDescent="0.45">
      <c r="B4" s="12"/>
      <c r="C4" s="14" t="s">
        <v>24</v>
      </c>
      <c r="D4" s="14" t="s">
        <v>111</v>
      </c>
    </row>
    <row r="5" spans="2:27" ht="22.2" thickTop="1" thickBot="1" x14ac:dyDescent="0.45">
      <c r="B5" s="11"/>
      <c r="C5" s="14" t="s">
        <v>25</v>
      </c>
      <c r="D5" s="14" t="s">
        <v>111</v>
      </c>
    </row>
    <row r="6" spans="2:27" s="1" customFormat="1" ht="22.2" thickTop="1" thickBot="1" x14ac:dyDescent="0.45">
      <c r="G6" s="4" t="s">
        <v>22</v>
      </c>
      <c r="H6" s="4" t="s">
        <v>1</v>
      </c>
      <c r="I6" s="3" t="s">
        <v>2</v>
      </c>
      <c r="J6" s="3" t="s">
        <v>0</v>
      </c>
      <c r="K6" s="3" t="s">
        <v>7</v>
      </c>
      <c r="L6" s="3" t="s">
        <v>21</v>
      </c>
      <c r="M6" s="3" t="s">
        <v>5</v>
      </c>
      <c r="N6" s="3" t="s">
        <v>8</v>
      </c>
      <c r="O6" s="3" t="s">
        <v>19</v>
      </c>
      <c r="P6" s="3" t="s">
        <v>3</v>
      </c>
      <c r="Q6" s="9" t="s">
        <v>4</v>
      </c>
      <c r="R6" s="9" t="s">
        <v>6</v>
      </c>
      <c r="S6" s="3" t="s">
        <v>20</v>
      </c>
      <c r="T6" s="3" t="s">
        <v>10</v>
      </c>
      <c r="U6" s="3" t="s">
        <v>11</v>
      </c>
      <c r="V6" s="3" t="s">
        <v>14</v>
      </c>
      <c r="W6" s="3" t="s">
        <v>16</v>
      </c>
      <c r="X6" s="3" t="s">
        <v>124</v>
      </c>
      <c r="Y6" s="3" t="s">
        <v>125</v>
      </c>
      <c r="Z6" s="3" t="s">
        <v>123</v>
      </c>
      <c r="AA6" s="3" t="s">
        <v>126</v>
      </c>
    </row>
    <row r="7" spans="2:27" ht="22.2" thickTop="1" thickBot="1" x14ac:dyDescent="0.45">
      <c r="F7" s="15"/>
      <c r="G7" s="19">
        <v>1</v>
      </c>
      <c r="H7" s="5" t="s">
        <v>27</v>
      </c>
      <c r="I7" s="2" t="str">
        <f t="shared" ref="I7:I18" si="0" xml:space="preserve"> "Resnet50"</f>
        <v>Resnet50</v>
      </c>
      <c r="J7" s="2" t="str">
        <f t="shared" ref="J7:J18" si="1" xml:space="preserve"> "MNIST"</f>
        <v>MNIST</v>
      </c>
      <c r="K7" s="2" t="str">
        <f t="shared" ref="K7:K18" si="2" xml:space="preserve"> "(3,192,192)"</f>
        <v>(3,192,192)</v>
      </c>
      <c r="L7" s="2">
        <v>10</v>
      </c>
      <c r="M7" s="2" t="str">
        <f xml:space="preserve"> "Linear"</f>
        <v>Linear</v>
      </c>
      <c r="N7" s="2" t="s">
        <v>9</v>
      </c>
      <c r="O7" s="2" t="b">
        <f xml:space="preserve"> FALSE</f>
        <v>0</v>
      </c>
      <c r="P7" s="2" t="str">
        <f>"(2048,6,6) --&gt; (10)"</f>
        <v>(2048,6,6) --&gt; (10)</v>
      </c>
      <c r="Q7" s="10">
        <f xml:space="preserve"> 737290</f>
        <v>737290</v>
      </c>
      <c r="R7" s="10">
        <f xml:space="preserve"> 24245322</f>
        <v>24245322</v>
      </c>
      <c r="S7" s="2" t="s">
        <v>18</v>
      </c>
      <c r="T7" s="2" t="s">
        <v>13</v>
      </c>
      <c r="U7" s="2" t="s">
        <v>12</v>
      </c>
      <c r="V7" s="2" t="s">
        <v>15</v>
      </c>
      <c r="W7" s="2" t="s">
        <v>17</v>
      </c>
      <c r="X7" s="2">
        <v>0.98198336399999997</v>
      </c>
      <c r="Y7" s="2">
        <v>0.99975001799999996</v>
      </c>
      <c r="Z7" s="2">
        <v>0.97259998299999995</v>
      </c>
      <c r="AA7" s="2">
        <v>0.99930000299999999</v>
      </c>
    </row>
    <row r="8" spans="2:27" ht="22.2" thickTop="1" thickBot="1" x14ac:dyDescent="0.45">
      <c r="F8" s="15"/>
      <c r="G8" s="20">
        <v>1</v>
      </c>
      <c r="H8" s="5" t="s">
        <v>28</v>
      </c>
      <c r="I8" s="2" t="str">
        <f t="shared" si="0"/>
        <v>Resnet50</v>
      </c>
      <c r="J8" s="2" t="str">
        <f t="shared" si="1"/>
        <v>MNIST</v>
      </c>
      <c r="K8" s="2" t="str">
        <f t="shared" si="2"/>
        <v>(3,192,192)</v>
      </c>
      <c r="L8" s="2">
        <v>10</v>
      </c>
      <c r="M8" s="2" t="str">
        <f xml:space="preserve"> "TRL"</f>
        <v>TRL</v>
      </c>
      <c r="N8" s="2" t="str">
        <f>"trl:: (200,3,3,8)"</f>
        <v>trl:: (200,3,3,8)</v>
      </c>
      <c r="O8" s="2" t="b">
        <f xml:space="preserve"> FALSE</f>
        <v>0</v>
      </c>
      <c r="P8" s="2" t="str">
        <f>"(2048,6,6) --&gt; (10)"</f>
        <v>(2048,6,6) --&gt; (10)</v>
      </c>
      <c r="Q8" s="10">
        <f>424116</f>
        <v>424116</v>
      </c>
      <c r="R8" s="10">
        <f t="shared" ref="R8:R18" si="3" xml:space="preserve"> R7 - Q7 + Q8</f>
        <v>23932148</v>
      </c>
      <c r="S8" s="2">
        <f xml:space="preserve"> (1-(Q8/Q7))*100</f>
        <v>42.476366151717784</v>
      </c>
      <c r="T8" s="2" t="s">
        <v>13</v>
      </c>
      <c r="U8" s="2" t="s">
        <v>12</v>
      </c>
      <c r="V8" s="2" t="s">
        <v>15</v>
      </c>
      <c r="W8" s="2" t="s">
        <v>17</v>
      </c>
      <c r="X8" s="2">
        <v>0.98870003200000001</v>
      </c>
      <c r="Y8" s="2">
        <v>0.99983334499999998</v>
      </c>
      <c r="Z8" s="2">
        <v>0.98759996900000002</v>
      </c>
      <c r="AA8" s="2">
        <v>0.99989998300000005</v>
      </c>
    </row>
    <row r="9" spans="2:27" ht="22.2" thickTop="1" thickBot="1" x14ac:dyDescent="0.45">
      <c r="F9" s="15"/>
      <c r="G9" s="20">
        <v>1</v>
      </c>
      <c r="H9" s="5" t="s">
        <v>29</v>
      </c>
      <c r="I9" s="2" t="str">
        <f t="shared" si="0"/>
        <v>Resnet50</v>
      </c>
      <c r="J9" s="2" t="str">
        <f t="shared" si="1"/>
        <v>MNIST</v>
      </c>
      <c r="K9" s="2" t="str">
        <f t="shared" si="2"/>
        <v>(3,192,192)</v>
      </c>
      <c r="L9" s="2">
        <v>10</v>
      </c>
      <c r="M9" s="2" t="str">
        <f xml:space="preserve"> "TRL"</f>
        <v>TRL</v>
      </c>
      <c r="N9" s="2" t="str">
        <f>"trl:: (100,3,3,10)"</f>
        <v>trl:: (100,3,3,10)</v>
      </c>
      <c r="O9" s="2" t="b">
        <f xml:space="preserve"> FALSE</f>
        <v>0</v>
      </c>
      <c r="P9" s="2" t="str">
        <f>"(2048,6,6) --&gt; (10)"</f>
        <v>(2048,6,6) --&gt; (10)</v>
      </c>
      <c r="Q9" s="10">
        <f>213936</f>
        <v>213936</v>
      </c>
      <c r="R9" s="10">
        <f t="shared" si="3"/>
        <v>23721968</v>
      </c>
      <c r="S9" s="2">
        <f xml:space="preserve"> (1-(Q9/Q7))*100</f>
        <v>70.983466478590501</v>
      </c>
      <c r="T9" s="2" t="s">
        <v>13</v>
      </c>
      <c r="U9" s="2" t="s">
        <v>12</v>
      </c>
      <c r="V9" s="2" t="s">
        <v>15</v>
      </c>
      <c r="W9" s="2" t="s">
        <v>17</v>
      </c>
      <c r="X9" s="2">
        <v>0.989050031</v>
      </c>
      <c r="Y9" s="2">
        <v>0.99993336200000005</v>
      </c>
      <c r="Z9" s="2">
        <v>0.97999995900000003</v>
      </c>
      <c r="AA9" s="2">
        <v>0.99969995</v>
      </c>
    </row>
    <row r="10" spans="2:27" ht="22.2" thickTop="1" thickBot="1" x14ac:dyDescent="0.45">
      <c r="F10" s="15"/>
      <c r="G10" s="20">
        <v>1</v>
      </c>
      <c r="H10" s="5" t="s">
        <v>30</v>
      </c>
      <c r="I10" s="2" t="str">
        <f t="shared" si="0"/>
        <v>Resnet50</v>
      </c>
      <c r="J10" s="2" t="str">
        <f t="shared" si="1"/>
        <v>MNIST</v>
      </c>
      <c r="K10" s="2" t="str">
        <f t="shared" si="2"/>
        <v>(3,192,192)</v>
      </c>
      <c r="L10" s="2">
        <v>10</v>
      </c>
      <c r="M10" s="2" t="str">
        <f xml:space="preserve"> "TRL"</f>
        <v>TRL</v>
      </c>
      <c r="N10" s="2" t="str">
        <f>"trl:: (50,3,3,3)"</f>
        <v>trl:: (50,3,3,3)</v>
      </c>
      <c r="O10" s="2" t="b">
        <f xml:space="preserve"> FALSE</f>
        <v>0</v>
      </c>
      <c r="P10" s="2" t="str">
        <f>"(2048,6,6) --&gt; (10)"</f>
        <v>(2048,6,6) --&gt; (10)</v>
      </c>
      <c r="Q10" s="10">
        <f>103816</f>
        <v>103816</v>
      </c>
      <c r="R10" s="10">
        <f t="shared" si="3"/>
        <v>23611848</v>
      </c>
      <c r="S10" s="2">
        <f xml:space="preserve"> (1-(Q10/Q7))*100</f>
        <v>85.919244801909699</v>
      </c>
      <c r="T10" s="2" t="s">
        <v>13</v>
      </c>
      <c r="U10" s="2" t="s">
        <v>12</v>
      </c>
      <c r="V10" s="2" t="s">
        <v>15</v>
      </c>
      <c r="W10" s="2" t="s">
        <v>17</v>
      </c>
      <c r="X10" s="2">
        <v>0.98465001600000002</v>
      </c>
      <c r="Y10" s="2">
        <v>0.99860000599999998</v>
      </c>
      <c r="Z10" s="2">
        <v>0.96499997400000004</v>
      </c>
      <c r="AA10" s="2">
        <v>0.99789994999999998</v>
      </c>
    </row>
    <row r="11" spans="2:27" ht="22.2" thickTop="1" thickBot="1" x14ac:dyDescent="0.45">
      <c r="F11" s="15"/>
      <c r="G11" s="20">
        <v>1</v>
      </c>
      <c r="H11" s="5" t="s">
        <v>31</v>
      </c>
      <c r="I11" s="2" t="str">
        <f t="shared" si="0"/>
        <v>Resnet50</v>
      </c>
      <c r="J11" s="2" t="str">
        <f t="shared" si="1"/>
        <v>MNIST</v>
      </c>
      <c r="K11" s="2" t="str">
        <f t="shared" si="2"/>
        <v>(3,192,192)</v>
      </c>
      <c r="L11" s="2">
        <v>10</v>
      </c>
      <c r="M11" s="2" t="str">
        <f t="shared" ref="M11:M18" si="4">"Reshape+TRL"</f>
        <v>Reshape+TRL</v>
      </c>
      <c r="N11" s="2" t="str">
        <f>"trl:: (1,1,1,100,1,1,10)"</f>
        <v>trl:: (1,1,1,100,1,1,10)</v>
      </c>
      <c r="O11" s="2" t="str">
        <f xml:space="preserve"> "(2,2,2)-type1"</f>
        <v>(2,2,2)-type1</v>
      </c>
      <c r="P11" s="2" t="str">
        <f>"(2048,6,6) --&gt; (2,2,2,1024,3,3) --&gt; (10)"</f>
        <v>(2048,6,6) --&gt; (2,2,2,1024,3,3) --&gt; (10)</v>
      </c>
      <c r="Q11" s="10">
        <f>103512</f>
        <v>103512</v>
      </c>
      <c r="R11" s="10">
        <f t="shared" si="3"/>
        <v>23611544</v>
      </c>
      <c r="S11" s="2">
        <f xml:space="preserve"> (1-(Q11/Q7))*100</f>
        <v>85.960476881552722</v>
      </c>
      <c r="T11" s="2" t="s">
        <v>13</v>
      </c>
      <c r="U11" s="2" t="s">
        <v>12</v>
      </c>
      <c r="V11" s="2" t="s">
        <v>15</v>
      </c>
      <c r="W11" s="2" t="s">
        <v>17</v>
      </c>
      <c r="X11" s="2">
        <v>0.98884999799999995</v>
      </c>
      <c r="Y11" s="2">
        <v>0.99993336200000005</v>
      </c>
      <c r="Z11" s="2">
        <v>0.97810000200000002</v>
      </c>
      <c r="AA11" s="2">
        <v>0.99959999300000002</v>
      </c>
    </row>
    <row r="12" spans="2:27" ht="22.2" thickTop="1" thickBot="1" x14ac:dyDescent="0.45">
      <c r="F12" s="15"/>
      <c r="G12" s="20">
        <v>1</v>
      </c>
      <c r="H12" s="5" t="s">
        <v>32</v>
      </c>
      <c r="I12" s="2" t="str">
        <f t="shared" si="0"/>
        <v>Resnet50</v>
      </c>
      <c r="J12" s="2" t="str">
        <f t="shared" si="1"/>
        <v>MNIST</v>
      </c>
      <c r="K12" s="2" t="str">
        <f t="shared" si="2"/>
        <v>(3,192,192)</v>
      </c>
      <c r="L12" s="2">
        <v>10</v>
      </c>
      <c r="M12" s="2" t="str">
        <f t="shared" si="4"/>
        <v>Reshape+TRL</v>
      </c>
      <c r="N12" s="2" t="str">
        <f>"trl:: (1,1,1,100,1,1,10)"</f>
        <v>trl:: (1,1,1,100,1,1,10)</v>
      </c>
      <c r="O12" s="2" t="str">
        <f xml:space="preserve"> "(2,2,2)-type2"</f>
        <v>(2,2,2)-type2</v>
      </c>
      <c r="P12" s="2" t="str">
        <f>"(2048,6,6) --&gt; (2,2,2,1024,3,3) --&gt; (10)"</f>
        <v>(2048,6,6) --&gt; (2,2,2,1024,3,3) --&gt; (10)</v>
      </c>
      <c r="Q12" s="10">
        <f>103512</f>
        <v>103512</v>
      </c>
      <c r="R12" s="10">
        <f t="shared" si="3"/>
        <v>23611544</v>
      </c>
      <c r="S12" s="2">
        <f xml:space="preserve"> (1-(Q12/Q7))*100</f>
        <v>85.960476881552722</v>
      </c>
      <c r="T12" s="2" t="s">
        <v>13</v>
      </c>
      <c r="U12" s="2" t="s">
        <v>12</v>
      </c>
      <c r="V12" s="2" t="s">
        <v>15</v>
      </c>
      <c r="W12" s="2" t="s">
        <v>17</v>
      </c>
      <c r="X12" s="2">
        <v>0.98808336299999999</v>
      </c>
      <c r="Y12" s="2">
        <v>0.99989998300000005</v>
      </c>
      <c r="Z12" s="2">
        <v>0.98189997699999998</v>
      </c>
      <c r="AA12" s="2">
        <v>0.99989998300000005</v>
      </c>
    </row>
    <row r="13" spans="2:27" ht="22.2" thickTop="1" thickBot="1" x14ac:dyDescent="0.45">
      <c r="F13" s="15"/>
      <c r="G13" s="20">
        <v>1</v>
      </c>
      <c r="H13" s="5" t="s">
        <v>33</v>
      </c>
      <c r="I13" s="2" t="str">
        <f t="shared" si="0"/>
        <v>Resnet50</v>
      </c>
      <c r="J13" s="2" t="str">
        <f t="shared" si="1"/>
        <v>MNIST</v>
      </c>
      <c r="K13" s="2" t="str">
        <f t="shared" si="2"/>
        <v>(3,192,192)</v>
      </c>
      <c r="L13" s="2">
        <v>10</v>
      </c>
      <c r="M13" s="2" t="str">
        <f t="shared" si="4"/>
        <v>Reshape+TRL</v>
      </c>
      <c r="N13" s="2" t="str">
        <f>"trl:: (1,1,1,20,1,1,4)"</f>
        <v>trl:: (1,1,1,20,1,1,4)</v>
      </c>
      <c r="O13" s="2" t="str">
        <f xml:space="preserve"> "(2,2,2)-type1"</f>
        <v>(2,2,2)-type1</v>
      </c>
      <c r="P13" s="2" t="str">
        <f>"(2048,6,6) --&gt; (2,2,2,1024,3,3) --&gt; (10)"</f>
        <v>(2048,6,6) --&gt; (2,2,2,1024,3,3) --&gt; (10)</v>
      </c>
      <c r="Q13" s="10">
        <f>20612</f>
        <v>20612</v>
      </c>
      <c r="R13" s="10">
        <f t="shared" si="3"/>
        <v>23528644</v>
      </c>
      <c r="S13" s="2">
        <f xml:space="preserve"> (1-(Q13/Q7))*100</f>
        <v>97.204356494730703</v>
      </c>
      <c r="T13" s="2" t="s">
        <v>13</v>
      </c>
      <c r="U13" s="2" t="s">
        <v>12</v>
      </c>
      <c r="V13" s="2" t="s">
        <v>15</v>
      </c>
      <c r="W13" s="2" t="s">
        <v>17</v>
      </c>
      <c r="X13" s="2">
        <v>0.98623335400000001</v>
      </c>
      <c r="Y13" s="2">
        <v>0.99954998500000003</v>
      </c>
      <c r="Z13" s="2">
        <v>0.98569995200000005</v>
      </c>
      <c r="AA13" s="2">
        <v>0.99949997700000004</v>
      </c>
    </row>
    <row r="14" spans="2:27" ht="21.75" customHeight="1" thickTop="1" thickBot="1" x14ac:dyDescent="0.45">
      <c r="F14" s="15"/>
      <c r="G14" s="20">
        <v>1</v>
      </c>
      <c r="H14" s="5" t="s">
        <v>34</v>
      </c>
      <c r="I14" s="2" t="str">
        <f t="shared" si="0"/>
        <v>Resnet50</v>
      </c>
      <c r="J14" s="2" t="str">
        <f t="shared" si="1"/>
        <v>MNIST</v>
      </c>
      <c r="K14" s="2" t="str">
        <f t="shared" si="2"/>
        <v>(3,192,192)</v>
      </c>
      <c r="L14" s="2">
        <v>10</v>
      </c>
      <c r="M14" s="2" t="str">
        <f t="shared" si="4"/>
        <v>Reshape+TRL</v>
      </c>
      <c r="N14" s="2" t="str">
        <f>"trl:: (1,1,1,20,1,1,4)"</f>
        <v>trl:: (1,1,1,20,1,1,4)</v>
      </c>
      <c r="O14" s="2" t="str">
        <f xml:space="preserve"> "(2,2,2)-type2"</f>
        <v>(2,2,2)-type2</v>
      </c>
      <c r="P14" s="2" t="str">
        <f>"(2048,6,6) --&gt; (2,2,2,1024,3,3) --&gt; (10)"</f>
        <v>(2048,6,6) --&gt; (2,2,2,1024,3,3) --&gt; (10)</v>
      </c>
      <c r="Q14" s="10">
        <f>20612</f>
        <v>20612</v>
      </c>
      <c r="R14" s="10">
        <f t="shared" si="3"/>
        <v>23528644</v>
      </c>
      <c r="S14" s="2">
        <f xml:space="preserve"> (1-(Q14/Q7))*100</f>
        <v>97.204356494730703</v>
      </c>
      <c r="T14" s="2" t="s">
        <v>13</v>
      </c>
      <c r="U14" s="2" t="s">
        <v>12</v>
      </c>
      <c r="V14" s="2" t="s">
        <v>15</v>
      </c>
      <c r="W14" s="2" t="s">
        <v>17</v>
      </c>
      <c r="X14" s="2">
        <v>0.98669999799999997</v>
      </c>
      <c r="Y14" s="2">
        <v>0.99943333899999998</v>
      </c>
      <c r="Z14" s="2">
        <v>0.97799998499999996</v>
      </c>
      <c r="AA14" s="2">
        <v>0.99959999300000002</v>
      </c>
    </row>
    <row r="15" spans="2:27" ht="22.2" thickTop="1" thickBot="1" x14ac:dyDescent="0.45">
      <c r="F15" s="15"/>
      <c r="G15" s="20">
        <v>1</v>
      </c>
      <c r="H15" s="5" t="s">
        <v>35</v>
      </c>
      <c r="I15" s="2" t="str">
        <f t="shared" si="0"/>
        <v>Resnet50</v>
      </c>
      <c r="J15" s="2" t="str">
        <f t="shared" si="1"/>
        <v>MNIST</v>
      </c>
      <c r="K15" s="2" t="str">
        <f t="shared" si="2"/>
        <v>(3,192,192)</v>
      </c>
      <c r="L15" s="2">
        <v>10</v>
      </c>
      <c r="M15" s="2" t="str">
        <f t="shared" si="4"/>
        <v>Reshape+TRL</v>
      </c>
      <c r="N15" s="2" t="str">
        <f>"trl:: (4,1,1,20,1,1,10)"</f>
        <v>trl:: (4,1,1,20,1,1,10)</v>
      </c>
      <c r="O15" s="2" t="str">
        <f xml:space="preserve"> "(16,2,2)-type1"</f>
        <v>(16,2,2)-type1</v>
      </c>
      <c r="P15" s="2" t="str">
        <f>"(2048,6,6) --&gt; (16,2,2,128,3,3) --&gt; (10)"</f>
        <v>(2048,6,6) --&gt; (16,2,2,128,3,3) --&gt; (10)</v>
      </c>
      <c r="Q15" s="10">
        <f>3534</f>
        <v>3534</v>
      </c>
      <c r="R15" s="10">
        <f t="shared" si="3"/>
        <v>23511566</v>
      </c>
      <c r="S15" s="2">
        <f xml:space="preserve"> (1-(Q15/Q7))*100</f>
        <v>99.52067707414993</v>
      </c>
      <c r="T15" s="2" t="s">
        <v>13</v>
      </c>
      <c r="U15" s="2" t="s">
        <v>12</v>
      </c>
      <c r="V15" s="2" t="s">
        <v>15</v>
      </c>
      <c r="W15" s="2" t="s">
        <v>17</v>
      </c>
      <c r="X15" s="2">
        <v>0.98813337099999998</v>
      </c>
      <c r="Y15" s="2">
        <v>0.99993336200000005</v>
      </c>
      <c r="Z15" s="2">
        <v>0.97859996599999999</v>
      </c>
      <c r="AA15" s="2">
        <v>0.99969995</v>
      </c>
    </row>
    <row r="16" spans="2:27" ht="22.2" thickTop="1" thickBot="1" x14ac:dyDescent="0.45">
      <c r="F16" s="15"/>
      <c r="G16" s="20">
        <v>1</v>
      </c>
      <c r="H16" s="5" t="s">
        <v>36</v>
      </c>
      <c r="I16" s="2" t="str">
        <f t="shared" si="0"/>
        <v>Resnet50</v>
      </c>
      <c r="J16" s="2" t="str">
        <f t="shared" si="1"/>
        <v>MNIST</v>
      </c>
      <c r="K16" s="2" t="str">
        <f t="shared" si="2"/>
        <v>(3,192,192)</v>
      </c>
      <c r="L16" s="2">
        <v>10</v>
      </c>
      <c r="M16" s="2" t="str">
        <f t="shared" si="4"/>
        <v>Reshape+TRL</v>
      </c>
      <c r="N16" s="2" t="str">
        <f>"trl:: (4,1,1,20,1,1,10)"</f>
        <v>trl:: (4,1,1,20,1,1,10)</v>
      </c>
      <c r="O16" s="2" t="str">
        <f xml:space="preserve"> "(16,2,2)-type2"</f>
        <v>(16,2,2)-type2</v>
      </c>
      <c r="P16" s="2" t="str">
        <f>"(2048,6,6) --&gt; (16,2,2,128,3,3) --&gt; (10)"</f>
        <v>(2048,6,6) --&gt; (16,2,2,128,3,3) --&gt; (10)</v>
      </c>
      <c r="Q16" s="10">
        <f>3534</f>
        <v>3534</v>
      </c>
      <c r="R16" s="10">
        <f t="shared" si="3"/>
        <v>23511566</v>
      </c>
      <c r="S16" s="2">
        <f xml:space="preserve"> (1-(Q16/Q7))*100</f>
        <v>99.52067707414993</v>
      </c>
      <c r="T16" s="2" t="s">
        <v>13</v>
      </c>
      <c r="U16" s="2" t="s">
        <v>12</v>
      </c>
      <c r="V16" s="2" t="s">
        <v>15</v>
      </c>
      <c r="W16" s="2" t="s">
        <v>17</v>
      </c>
      <c r="X16" s="2">
        <v>0.98890000600000005</v>
      </c>
      <c r="Y16" s="2">
        <v>0.99996668099999997</v>
      </c>
      <c r="Z16" s="2">
        <v>0.98129999599999995</v>
      </c>
      <c r="AA16" s="2">
        <v>1</v>
      </c>
    </row>
    <row r="17" spans="6:27" ht="22.2" thickTop="1" thickBot="1" x14ac:dyDescent="0.45">
      <c r="F17" s="15"/>
      <c r="G17" s="20">
        <v>1</v>
      </c>
      <c r="H17" s="5" t="s">
        <v>37</v>
      </c>
      <c r="I17" s="2" t="str">
        <f t="shared" si="0"/>
        <v>Resnet50</v>
      </c>
      <c r="J17" s="2" t="str">
        <f t="shared" si="1"/>
        <v>MNIST</v>
      </c>
      <c r="K17" s="2" t="str">
        <f t="shared" si="2"/>
        <v>(3,192,192)</v>
      </c>
      <c r="L17" s="2">
        <v>10</v>
      </c>
      <c r="M17" s="2" t="str">
        <f t="shared" si="4"/>
        <v>Reshape+TRL</v>
      </c>
      <c r="N17" s="2" t="str">
        <f>"trl:: (4,1,1,10,1,1,4)"</f>
        <v>trl:: (4,1,1,10,1,1,4)</v>
      </c>
      <c r="O17" s="2" t="str">
        <f xml:space="preserve"> "(16,2,2)-type1"</f>
        <v>(16,2,2)-type1</v>
      </c>
      <c r="P17" s="2" t="str">
        <f>"(2048,6,6) --&gt; (16,2,2,128,3,3) --&gt; (10)"</f>
        <v>(2048,6,6) --&gt; (16,2,2,128,3,3) --&gt; (10)</v>
      </c>
      <c r="Q17" s="10">
        <f>1386</f>
        <v>1386</v>
      </c>
      <c r="R17" s="10">
        <f t="shared" si="3"/>
        <v>23509418</v>
      </c>
      <c r="S17" s="2">
        <f xml:space="preserve"> (1-(Q17/Q7))*100</f>
        <v>99.812014268469667</v>
      </c>
      <c r="T17" s="2" t="s">
        <v>13</v>
      </c>
      <c r="U17" s="2" t="s">
        <v>12</v>
      </c>
      <c r="V17" s="2" t="s">
        <v>15</v>
      </c>
      <c r="W17" s="2" t="s">
        <v>17</v>
      </c>
      <c r="X17" s="2">
        <v>0.98605001000000003</v>
      </c>
      <c r="Y17" s="2">
        <v>0.99956667399999999</v>
      </c>
      <c r="Z17" s="2">
        <v>0.977499962</v>
      </c>
      <c r="AA17" s="2">
        <v>0.99939995999999998</v>
      </c>
    </row>
    <row r="18" spans="6:27" ht="22.2" thickTop="1" thickBot="1" x14ac:dyDescent="0.45">
      <c r="F18" s="15"/>
      <c r="G18" s="20">
        <v>1</v>
      </c>
      <c r="H18" s="5" t="s">
        <v>38</v>
      </c>
      <c r="I18" s="2" t="str">
        <f t="shared" si="0"/>
        <v>Resnet50</v>
      </c>
      <c r="J18" s="2" t="str">
        <f t="shared" si="1"/>
        <v>MNIST</v>
      </c>
      <c r="K18" s="2" t="str">
        <f t="shared" si="2"/>
        <v>(3,192,192)</v>
      </c>
      <c r="L18" s="2">
        <v>10</v>
      </c>
      <c r="M18" s="2" t="str">
        <f t="shared" si="4"/>
        <v>Reshape+TRL</v>
      </c>
      <c r="N18" s="2" t="str">
        <f>"trl:: (4,1,1,10,1,1,4)"</f>
        <v>trl:: (4,1,1,10,1,1,4)</v>
      </c>
      <c r="O18" s="2" t="str">
        <f xml:space="preserve"> "(16,2,2)-type2"</f>
        <v>(16,2,2)-type2</v>
      </c>
      <c r="P18" s="2" t="str">
        <f>"(2048,6,6) --&gt; (16,2,2,128,3,3) --&gt; (10)"</f>
        <v>(2048,6,6) --&gt; (16,2,2,128,3,3) --&gt; (10)</v>
      </c>
      <c r="Q18" s="10">
        <f>1386</f>
        <v>1386</v>
      </c>
      <c r="R18" s="10">
        <f t="shared" si="3"/>
        <v>23509418</v>
      </c>
      <c r="S18" s="2">
        <f xml:space="preserve"> (1-(Q18/Q7))*100</f>
        <v>99.812014268469667</v>
      </c>
      <c r="T18" s="2" t="s">
        <v>13</v>
      </c>
      <c r="U18" s="2" t="s">
        <v>12</v>
      </c>
      <c r="V18" s="2" t="s">
        <v>15</v>
      </c>
      <c r="W18" s="2" t="s">
        <v>17</v>
      </c>
      <c r="X18" s="2">
        <v>0.98591667400000005</v>
      </c>
      <c r="Y18" s="2">
        <v>0.99918335700000005</v>
      </c>
      <c r="Z18" s="2">
        <v>0.98439997400000001</v>
      </c>
      <c r="AA18" s="2">
        <v>0.998999953</v>
      </c>
    </row>
    <row r="19" spans="6:27" ht="22.2" thickTop="1" thickBot="1" x14ac:dyDescent="0.45">
      <c r="F19" s="7"/>
      <c r="G19" s="17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6:27" ht="22.2" thickTop="1" thickBot="1" x14ac:dyDescent="0.45">
      <c r="F20" s="15"/>
      <c r="G20" s="20">
        <v>1</v>
      </c>
      <c r="H20" s="5" t="s">
        <v>39</v>
      </c>
      <c r="I20" s="2" t="str">
        <f t="shared" ref="I20:I31" si="5" xml:space="preserve"> "Resnet50"</f>
        <v>Resnet50</v>
      </c>
      <c r="J20" s="2" t="str">
        <f t="shared" ref="J20:J31" si="6" xml:space="preserve"> "CIFAR10"</f>
        <v>CIFAR10</v>
      </c>
      <c r="K20" s="2" t="str">
        <f t="shared" ref="K20:K31" si="7" xml:space="preserve"> "(3,192,192)"</f>
        <v>(3,192,192)</v>
      </c>
      <c r="L20" s="2">
        <v>10</v>
      </c>
      <c r="M20" s="2" t="str">
        <f xml:space="preserve"> "Linear"</f>
        <v>Linear</v>
      </c>
      <c r="N20" s="2" t="s">
        <v>9</v>
      </c>
      <c r="O20" s="2" t="b">
        <f xml:space="preserve"> FALSE</f>
        <v>0</v>
      </c>
      <c r="P20" s="2" t="str">
        <f>"(2048,6,6) --&gt; (10)"</f>
        <v>(2048,6,6) --&gt; (10)</v>
      </c>
      <c r="Q20" s="10">
        <f xml:space="preserve"> 737290</f>
        <v>737290</v>
      </c>
      <c r="R20" s="10">
        <f xml:space="preserve"> 24245322</f>
        <v>24245322</v>
      </c>
      <c r="S20" s="2" t="s">
        <v>18</v>
      </c>
      <c r="T20" s="2" t="s">
        <v>13</v>
      </c>
      <c r="U20" s="2" t="s">
        <v>12</v>
      </c>
      <c r="V20" s="2" t="s">
        <v>15</v>
      </c>
      <c r="W20" s="2" t="s">
        <v>17</v>
      </c>
      <c r="X20" s="2">
        <v>0.91493999999999998</v>
      </c>
      <c r="Y20" s="2">
        <v>0.99689996199999997</v>
      </c>
      <c r="Z20" s="2">
        <v>0.90719997900000005</v>
      </c>
      <c r="AA20" s="2">
        <v>0.99719995299999997</v>
      </c>
    </row>
    <row r="21" spans="6:27" ht="22.2" thickTop="1" thickBot="1" x14ac:dyDescent="0.45">
      <c r="F21" s="15"/>
      <c r="G21" s="20">
        <v>1</v>
      </c>
      <c r="H21" s="5" t="s">
        <v>40</v>
      </c>
      <c r="I21" s="2" t="str">
        <f t="shared" si="5"/>
        <v>Resnet50</v>
      </c>
      <c r="J21" s="2" t="str">
        <f t="shared" si="6"/>
        <v>CIFAR10</v>
      </c>
      <c r="K21" s="2" t="str">
        <f t="shared" si="7"/>
        <v>(3,192,192)</v>
      </c>
      <c r="L21" s="2">
        <v>10</v>
      </c>
      <c r="M21" s="2" t="str">
        <f xml:space="preserve"> "TRL"</f>
        <v>TRL</v>
      </c>
      <c r="N21" s="2" t="str">
        <f>"trl:: (200,3,3,8)"</f>
        <v>trl:: (200,3,3,8)</v>
      </c>
      <c r="O21" s="2" t="b">
        <f xml:space="preserve"> FALSE</f>
        <v>0</v>
      </c>
      <c r="P21" s="2" t="str">
        <f>"(2048,6,6) --&gt; (10)"</f>
        <v>(2048,6,6) --&gt; (10)</v>
      </c>
      <c r="Q21" s="10">
        <f>424116</f>
        <v>424116</v>
      </c>
      <c r="R21" s="10">
        <f t="shared" ref="R21:R31" si="8" xml:space="preserve"> R20 - Q20 + Q21</f>
        <v>23932148</v>
      </c>
      <c r="S21" s="2">
        <f xml:space="preserve"> (1-(Q21/Q20))*100</f>
        <v>42.476366151717784</v>
      </c>
      <c r="T21" s="2" t="s">
        <v>13</v>
      </c>
      <c r="U21" s="2" t="s">
        <v>12</v>
      </c>
      <c r="V21" s="2" t="s">
        <v>15</v>
      </c>
      <c r="W21" s="2" t="s">
        <v>17</v>
      </c>
      <c r="X21" s="2">
        <v>0.93430000499999999</v>
      </c>
      <c r="Y21" s="2">
        <v>0.99859994600000002</v>
      </c>
      <c r="Z21" s="2">
        <v>0.91029995699999999</v>
      </c>
      <c r="AA21" s="2">
        <v>0.997799993</v>
      </c>
    </row>
    <row r="22" spans="6:27" ht="22.2" thickTop="1" thickBot="1" x14ac:dyDescent="0.45">
      <c r="F22" s="15"/>
      <c r="G22" s="20">
        <v>1</v>
      </c>
      <c r="H22" s="5" t="s">
        <v>41</v>
      </c>
      <c r="I22" s="2" t="str">
        <f t="shared" si="5"/>
        <v>Resnet50</v>
      </c>
      <c r="J22" s="2" t="str">
        <f t="shared" si="6"/>
        <v>CIFAR10</v>
      </c>
      <c r="K22" s="2" t="str">
        <f t="shared" si="7"/>
        <v>(3,192,192)</v>
      </c>
      <c r="L22" s="2">
        <v>10</v>
      </c>
      <c r="M22" s="2" t="str">
        <f xml:space="preserve"> "TRL"</f>
        <v>TRL</v>
      </c>
      <c r="N22" s="2" t="str">
        <f>"trl:: (100,3,3,10)"</f>
        <v>trl:: (100,3,3,10)</v>
      </c>
      <c r="O22" s="2" t="b">
        <f xml:space="preserve"> FALSE</f>
        <v>0</v>
      </c>
      <c r="P22" s="2" t="str">
        <f>"(2048,6,6) --&gt; (10)"</f>
        <v>(2048,6,6) --&gt; (10)</v>
      </c>
      <c r="Q22" s="10">
        <f>213936</f>
        <v>213936</v>
      </c>
      <c r="R22" s="10">
        <f t="shared" si="8"/>
        <v>23721968</v>
      </c>
      <c r="S22" s="2">
        <f xml:space="preserve"> (1-(Q22/Q20))*100</f>
        <v>70.983466478590501</v>
      </c>
      <c r="T22" s="2" t="s">
        <v>13</v>
      </c>
      <c r="U22" s="2" t="s">
        <v>12</v>
      </c>
      <c r="V22" s="2" t="s">
        <v>15</v>
      </c>
      <c r="W22" s="2" t="s">
        <v>17</v>
      </c>
      <c r="X22" s="2">
        <v>0.93495994800000004</v>
      </c>
      <c r="Y22" s="2">
        <v>0.99883997400000002</v>
      </c>
      <c r="Z22" s="2">
        <v>0.92319995200000005</v>
      </c>
      <c r="AA22" s="2">
        <v>0.99709999599999999</v>
      </c>
    </row>
    <row r="23" spans="6:27" ht="22.2" thickTop="1" thickBot="1" x14ac:dyDescent="0.45">
      <c r="F23" s="15"/>
      <c r="G23" s="20">
        <v>1</v>
      </c>
      <c r="H23" s="5" t="s">
        <v>42</v>
      </c>
      <c r="I23" s="2" t="str">
        <f t="shared" si="5"/>
        <v>Resnet50</v>
      </c>
      <c r="J23" s="2" t="str">
        <f t="shared" si="6"/>
        <v>CIFAR10</v>
      </c>
      <c r="K23" s="2" t="str">
        <f t="shared" si="7"/>
        <v>(3,192,192)</v>
      </c>
      <c r="L23" s="2">
        <v>10</v>
      </c>
      <c r="M23" s="2" t="str">
        <f xml:space="preserve"> "TRL"</f>
        <v>TRL</v>
      </c>
      <c r="N23" s="2" t="str">
        <f>"trl:: (50,3,3,3)"</f>
        <v>trl:: (50,3,3,3)</v>
      </c>
      <c r="O23" s="2" t="b">
        <f xml:space="preserve"> FALSE</f>
        <v>0</v>
      </c>
      <c r="P23" s="2" t="str">
        <f>"(2048,6,6) --&gt; (10)"</f>
        <v>(2048,6,6) --&gt; (10)</v>
      </c>
      <c r="Q23" s="10">
        <f>103816</f>
        <v>103816</v>
      </c>
      <c r="R23" s="10">
        <f t="shared" si="8"/>
        <v>23611848</v>
      </c>
      <c r="S23" s="2">
        <f xml:space="preserve"> (1-(Q23/Q20))*100</f>
        <v>85.919244801909699</v>
      </c>
      <c r="T23" s="2" t="s">
        <v>13</v>
      </c>
      <c r="U23" s="2" t="s">
        <v>12</v>
      </c>
      <c r="V23" s="2" t="s">
        <v>15</v>
      </c>
      <c r="W23" s="2" t="s">
        <v>17</v>
      </c>
      <c r="X23" s="2">
        <v>0.90928000200000003</v>
      </c>
      <c r="Y23" s="2">
        <v>0.99437999700000002</v>
      </c>
      <c r="Z23" s="2">
        <v>0.90410000099999999</v>
      </c>
      <c r="AA23" s="2">
        <v>0.99289995399999997</v>
      </c>
    </row>
    <row r="24" spans="6:27" ht="22.2" thickTop="1" thickBot="1" x14ac:dyDescent="0.45">
      <c r="F24" s="15"/>
      <c r="G24" s="20">
        <v>1</v>
      </c>
      <c r="H24" s="5" t="s">
        <v>43</v>
      </c>
      <c r="I24" s="2" t="str">
        <f t="shared" si="5"/>
        <v>Resnet50</v>
      </c>
      <c r="J24" s="2" t="str">
        <f t="shared" si="6"/>
        <v>CIFAR10</v>
      </c>
      <c r="K24" s="2" t="str">
        <f t="shared" si="7"/>
        <v>(3,192,192)</v>
      </c>
      <c r="L24" s="2">
        <v>10</v>
      </c>
      <c r="M24" s="2" t="str">
        <f t="shared" ref="M24:M31" si="9">"Reshape+TRL"</f>
        <v>Reshape+TRL</v>
      </c>
      <c r="N24" s="2" t="str">
        <f>"trl:: (1,1,1,100,1,1,10)"</f>
        <v>trl:: (1,1,1,100,1,1,10)</v>
      </c>
      <c r="O24" s="2" t="str">
        <f xml:space="preserve"> "(2,2,2)-type1"</f>
        <v>(2,2,2)-type1</v>
      </c>
      <c r="P24" s="2" t="str">
        <f>"(2048,6,6) --&gt; (2,2,2,1024,3,3) --&gt; (10)"</f>
        <v>(2048,6,6) --&gt; (2,2,2,1024,3,3) --&gt; (10)</v>
      </c>
      <c r="Q24" s="10">
        <f>103512</f>
        <v>103512</v>
      </c>
      <c r="R24" s="10">
        <f t="shared" si="8"/>
        <v>23611544</v>
      </c>
      <c r="S24" s="2">
        <f xml:space="preserve"> (1-(Q24/Q20))*100</f>
        <v>85.960476881552722</v>
      </c>
      <c r="T24" s="2" t="s">
        <v>13</v>
      </c>
      <c r="U24" s="2" t="s">
        <v>12</v>
      </c>
      <c r="V24" s="2" t="s">
        <v>15</v>
      </c>
      <c r="W24" s="2" t="s">
        <v>17</v>
      </c>
      <c r="X24" s="2">
        <v>0.938019991</v>
      </c>
      <c r="Y24" s="2">
        <v>0.99903994799999996</v>
      </c>
      <c r="Z24" s="2">
        <v>0.91789996600000001</v>
      </c>
      <c r="AA24" s="2">
        <v>0.99799996599999996</v>
      </c>
    </row>
    <row r="25" spans="6:27" ht="22.2" thickTop="1" thickBot="1" x14ac:dyDescent="0.45">
      <c r="F25" s="15"/>
      <c r="G25" s="20">
        <v>1</v>
      </c>
      <c r="H25" s="5" t="s">
        <v>44</v>
      </c>
      <c r="I25" s="2" t="str">
        <f t="shared" si="5"/>
        <v>Resnet50</v>
      </c>
      <c r="J25" s="2" t="str">
        <f t="shared" si="6"/>
        <v>CIFAR10</v>
      </c>
      <c r="K25" s="2" t="str">
        <f t="shared" si="7"/>
        <v>(3,192,192)</v>
      </c>
      <c r="L25" s="2">
        <v>10</v>
      </c>
      <c r="M25" s="2" t="str">
        <f t="shared" si="9"/>
        <v>Reshape+TRL</v>
      </c>
      <c r="N25" s="2" t="str">
        <f>"trl:: (1,1,1,100,1,1,10)"</f>
        <v>trl:: (1,1,1,100,1,1,10)</v>
      </c>
      <c r="O25" s="2" t="str">
        <f xml:space="preserve"> "(2,2,2)-type2"</f>
        <v>(2,2,2)-type2</v>
      </c>
      <c r="P25" s="2" t="str">
        <f>"(2048,6,6) --&gt; (2,2,2,1024,3,3) --&gt; (10)"</f>
        <v>(2048,6,6) --&gt; (2,2,2,1024,3,3) --&gt; (10)</v>
      </c>
      <c r="Q25" s="10">
        <f>103512</f>
        <v>103512</v>
      </c>
      <c r="R25" s="10">
        <f t="shared" si="8"/>
        <v>23611544</v>
      </c>
      <c r="S25" s="2">
        <f xml:space="preserve"> (1-(Q25/Q20))*100</f>
        <v>85.960476881552722</v>
      </c>
      <c r="T25" s="2" t="s">
        <v>13</v>
      </c>
      <c r="U25" s="2" t="s">
        <v>12</v>
      </c>
      <c r="V25" s="2" t="s">
        <v>15</v>
      </c>
      <c r="W25" s="2" t="s">
        <v>17</v>
      </c>
      <c r="X25" s="2">
        <v>0.93711996099999995</v>
      </c>
      <c r="Y25" s="2">
        <v>0.99901998000000003</v>
      </c>
      <c r="Z25" s="2">
        <v>0.92589998200000001</v>
      </c>
      <c r="AA25" s="2">
        <v>0.99839997300000005</v>
      </c>
    </row>
    <row r="26" spans="6:27" ht="22.2" thickTop="1" thickBot="1" x14ac:dyDescent="0.45">
      <c r="F26" s="15"/>
      <c r="G26" s="20">
        <v>1</v>
      </c>
      <c r="H26" s="5" t="s">
        <v>45</v>
      </c>
      <c r="I26" s="7" t="str">
        <f t="shared" si="5"/>
        <v>Resnet50</v>
      </c>
      <c r="J26" s="7" t="str">
        <f t="shared" si="6"/>
        <v>CIFAR10</v>
      </c>
      <c r="K26" s="7" t="str">
        <f t="shared" si="7"/>
        <v>(3,192,192)</v>
      </c>
      <c r="L26" s="7">
        <v>10</v>
      </c>
      <c r="M26" s="7" t="str">
        <f t="shared" si="9"/>
        <v>Reshape+TRL</v>
      </c>
      <c r="N26" s="7" t="str">
        <f>"trl:: (1,1,1,20,1,1,4)"</f>
        <v>trl:: (1,1,1,20,1,1,4)</v>
      </c>
      <c r="O26" s="7" t="str">
        <f xml:space="preserve"> "(2,2,2)-type1"</f>
        <v>(2,2,2)-type1</v>
      </c>
      <c r="P26" s="7" t="str">
        <f>"(2048,6,6) --&gt; (2,2,2,1024,3,3) --&gt; (10)"</f>
        <v>(2048,6,6) --&gt; (2,2,2,1024,3,3) --&gt; (10)</v>
      </c>
      <c r="Q26" s="18">
        <f>20612</f>
        <v>20612</v>
      </c>
      <c r="R26" s="18">
        <f t="shared" si="8"/>
        <v>23528644</v>
      </c>
      <c r="S26" s="7">
        <f xml:space="preserve"> (1-(Q26/Q20))*100</f>
        <v>97.204356494730703</v>
      </c>
      <c r="T26" s="7" t="s">
        <v>13</v>
      </c>
      <c r="U26" s="7" t="s">
        <v>12</v>
      </c>
      <c r="V26" s="7" t="s">
        <v>15</v>
      </c>
      <c r="W26" s="7" t="s">
        <v>17</v>
      </c>
      <c r="X26" s="2">
        <v>0.92403995999999999</v>
      </c>
      <c r="Y26" s="2">
        <v>0.99661999899999998</v>
      </c>
      <c r="Z26" s="2">
        <v>0.90999996699999997</v>
      </c>
      <c r="AA26" s="2">
        <v>0.99469995499999997</v>
      </c>
    </row>
    <row r="27" spans="6:27" ht="22.2" thickTop="1" thickBot="1" x14ac:dyDescent="0.45">
      <c r="F27" s="15"/>
      <c r="G27" s="20">
        <v>1</v>
      </c>
      <c r="H27" s="5" t="s">
        <v>46</v>
      </c>
      <c r="I27" s="2" t="str">
        <f t="shared" si="5"/>
        <v>Resnet50</v>
      </c>
      <c r="J27" s="2" t="str">
        <f t="shared" si="6"/>
        <v>CIFAR10</v>
      </c>
      <c r="K27" s="2" t="str">
        <f t="shared" si="7"/>
        <v>(3,192,192)</v>
      </c>
      <c r="L27" s="2">
        <v>10</v>
      </c>
      <c r="M27" s="2" t="str">
        <f t="shared" si="9"/>
        <v>Reshape+TRL</v>
      </c>
      <c r="N27" s="2" t="str">
        <f>"trl:: (1,1,1,20,1,1,4)"</f>
        <v>trl:: (1,1,1,20,1,1,4)</v>
      </c>
      <c r="O27" s="2" t="str">
        <f xml:space="preserve"> "(2,2,2)-type2"</f>
        <v>(2,2,2)-type2</v>
      </c>
      <c r="P27" s="2" t="str">
        <f>"(2048,6,6) --&gt; (2,2,2,1024,3,3) --&gt; (10)"</f>
        <v>(2048,6,6) --&gt; (2,2,2,1024,3,3) --&gt; (10)</v>
      </c>
      <c r="Q27" s="10">
        <f>20612</f>
        <v>20612</v>
      </c>
      <c r="R27" s="10">
        <f t="shared" si="8"/>
        <v>23528644</v>
      </c>
      <c r="S27" s="2">
        <f xml:space="preserve"> (1-(Q27/Q20))*100</f>
        <v>97.204356494730703</v>
      </c>
      <c r="T27" s="2" t="s">
        <v>13</v>
      </c>
      <c r="U27" s="2" t="s">
        <v>12</v>
      </c>
      <c r="V27" s="2" t="s">
        <v>15</v>
      </c>
      <c r="W27" s="2" t="s">
        <v>17</v>
      </c>
      <c r="X27" s="2">
        <v>0.92245995999999997</v>
      </c>
      <c r="Y27" s="2">
        <v>0.99581998599999999</v>
      </c>
      <c r="Z27" s="2">
        <v>0.91529995200000003</v>
      </c>
      <c r="AA27" s="2">
        <v>0.99509996199999995</v>
      </c>
    </row>
    <row r="28" spans="6:27" ht="22.2" thickTop="1" thickBot="1" x14ac:dyDescent="0.45">
      <c r="F28" s="15"/>
      <c r="G28" s="20">
        <v>1</v>
      </c>
      <c r="H28" s="5" t="s">
        <v>47</v>
      </c>
      <c r="I28" s="2" t="str">
        <f t="shared" si="5"/>
        <v>Resnet50</v>
      </c>
      <c r="J28" s="2" t="str">
        <f t="shared" si="6"/>
        <v>CIFAR10</v>
      </c>
      <c r="K28" s="2" t="str">
        <f t="shared" si="7"/>
        <v>(3,192,192)</v>
      </c>
      <c r="L28" s="2">
        <v>10</v>
      </c>
      <c r="M28" s="2" t="str">
        <f t="shared" si="9"/>
        <v>Reshape+TRL</v>
      </c>
      <c r="N28" s="2" t="str">
        <f>"trl:: (4,1,1,20,1,1,10)"</f>
        <v>trl:: (4,1,1,20,1,1,10)</v>
      </c>
      <c r="O28" s="2" t="str">
        <f xml:space="preserve"> "(16,2,2)-type1"</f>
        <v>(16,2,2)-type1</v>
      </c>
      <c r="P28" s="2" t="str">
        <f>"(2048,6,6) --&gt; (16,2,2,128,3,3) --&gt; (10)"</f>
        <v>(2048,6,6) --&gt; (16,2,2,128,3,3) --&gt; (10)</v>
      </c>
      <c r="Q28" s="10">
        <f>3534</f>
        <v>3534</v>
      </c>
      <c r="R28" s="10">
        <f t="shared" si="8"/>
        <v>23511566</v>
      </c>
      <c r="S28" s="2">
        <f xml:space="preserve"> (1-(Q28/Q20))*100</f>
        <v>99.52067707414993</v>
      </c>
      <c r="T28" s="2" t="s">
        <v>13</v>
      </c>
      <c r="U28" s="2" t="s">
        <v>12</v>
      </c>
      <c r="V28" s="2" t="s">
        <v>15</v>
      </c>
      <c r="W28" s="2" t="s">
        <v>17</v>
      </c>
      <c r="X28" s="2">
        <v>0.93926000600000004</v>
      </c>
      <c r="Y28" s="2">
        <v>0.99908000200000002</v>
      </c>
      <c r="Z28" s="2">
        <v>0.92269998799999997</v>
      </c>
      <c r="AA28" s="2">
        <v>0.99829995599999999</v>
      </c>
    </row>
    <row r="29" spans="6:27" ht="22.2" thickTop="1" thickBot="1" x14ac:dyDescent="0.45">
      <c r="F29" s="15"/>
      <c r="G29" s="20">
        <v>1</v>
      </c>
      <c r="H29" s="5" t="s">
        <v>48</v>
      </c>
      <c r="I29" s="2" t="str">
        <f t="shared" si="5"/>
        <v>Resnet50</v>
      </c>
      <c r="J29" s="2" t="str">
        <f t="shared" si="6"/>
        <v>CIFAR10</v>
      </c>
      <c r="K29" s="2" t="str">
        <f t="shared" si="7"/>
        <v>(3,192,192)</v>
      </c>
      <c r="L29" s="2">
        <v>10</v>
      </c>
      <c r="M29" s="2" t="str">
        <f t="shared" si="9"/>
        <v>Reshape+TRL</v>
      </c>
      <c r="N29" s="2" t="str">
        <f>"trl:: (4,1,1,20,1,1,10)"</f>
        <v>trl:: (4,1,1,20,1,1,10)</v>
      </c>
      <c r="O29" s="2" t="str">
        <f xml:space="preserve"> "(16,2,2)-type2"</f>
        <v>(16,2,2)-type2</v>
      </c>
      <c r="P29" s="2" t="str">
        <f>"(2048,6,6) --&gt; (16,2,2,128,3,3) --&gt; (10)"</f>
        <v>(2048,6,6) --&gt; (16,2,2,128,3,3) --&gt; (10)</v>
      </c>
      <c r="Q29" s="10">
        <f>3534</f>
        <v>3534</v>
      </c>
      <c r="R29" s="10">
        <f t="shared" si="8"/>
        <v>23511566</v>
      </c>
      <c r="S29" s="2">
        <f xml:space="preserve"> (1-(Q29/Q20))*100</f>
        <v>99.52067707414993</v>
      </c>
      <c r="T29" s="2" t="s">
        <v>13</v>
      </c>
      <c r="U29" s="2" t="s">
        <v>12</v>
      </c>
      <c r="V29" s="2" t="s">
        <v>15</v>
      </c>
      <c r="W29" s="2" t="s">
        <v>17</v>
      </c>
      <c r="X29" s="2">
        <v>0.93831998100000003</v>
      </c>
      <c r="Y29" s="2">
        <v>0.99908000200000002</v>
      </c>
      <c r="Z29" s="2">
        <v>0.91949999299999996</v>
      </c>
      <c r="AA29" s="2">
        <v>0.99839997300000005</v>
      </c>
    </row>
    <row r="30" spans="6:27" ht="22.2" thickTop="1" thickBot="1" x14ac:dyDescent="0.45">
      <c r="F30" s="15"/>
      <c r="G30" s="20">
        <v>1</v>
      </c>
      <c r="H30" s="5" t="s">
        <v>49</v>
      </c>
      <c r="I30" s="7" t="str">
        <f t="shared" si="5"/>
        <v>Resnet50</v>
      </c>
      <c r="J30" s="7" t="str">
        <f t="shared" si="6"/>
        <v>CIFAR10</v>
      </c>
      <c r="K30" s="7" t="str">
        <f t="shared" si="7"/>
        <v>(3,192,192)</v>
      </c>
      <c r="L30" s="7">
        <v>10</v>
      </c>
      <c r="M30" s="7" t="str">
        <f t="shared" si="9"/>
        <v>Reshape+TRL</v>
      </c>
      <c r="N30" s="7" t="str">
        <f>"trl:: (4,1,1,10,1,1,4)"</f>
        <v>trl:: (4,1,1,10,1,1,4)</v>
      </c>
      <c r="O30" s="7" t="str">
        <f xml:space="preserve"> "(16,2,2)-type1"</f>
        <v>(16,2,2)-type1</v>
      </c>
      <c r="P30" s="7" t="str">
        <f>"(2048,6,6) --&gt; (16,2,2,128,3,3) --&gt; (10)"</f>
        <v>(2048,6,6) --&gt; (16,2,2,128,3,3) --&gt; (10)</v>
      </c>
      <c r="Q30" s="18">
        <f>1386</f>
        <v>1386</v>
      </c>
      <c r="R30" s="18">
        <f t="shared" si="8"/>
        <v>23509418</v>
      </c>
      <c r="S30" s="7">
        <f xml:space="preserve"> (1-(Q30/Q20))*100</f>
        <v>99.812014268469667</v>
      </c>
      <c r="T30" s="7" t="s">
        <v>13</v>
      </c>
      <c r="U30" s="7" t="s">
        <v>12</v>
      </c>
      <c r="V30" s="7" t="s">
        <v>15</v>
      </c>
      <c r="W30" s="7" t="s">
        <v>17</v>
      </c>
      <c r="X30" s="2">
        <v>0.92133998900000003</v>
      </c>
      <c r="Y30" s="2">
        <v>0.99636000400000002</v>
      </c>
      <c r="Z30" s="2">
        <v>0.904499948</v>
      </c>
      <c r="AA30" s="2">
        <v>0.99320000399999997</v>
      </c>
    </row>
    <row r="31" spans="6:27" ht="22.2" thickTop="1" thickBot="1" x14ac:dyDescent="0.45">
      <c r="F31" s="15"/>
      <c r="G31" s="20">
        <v>1</v>
      </c>
      <c r="H31" s="5" t="s">
        <v>50</v>
      </c>
      <c r="I31" s="2" t="str">
        <f t="shared" si="5"/>
        <v>Resnet50</v>
      </c>
      <c r="J31" s="2" t="str">
        <f t="shared" si="6"/>
        <v>CIFAR10</v>
      </c>
      <c r="K31" s="2" t="str">
        <f t="shared" si="7"/>
        <v>(3,192,192)</v>
      </c>
      <c r="L31" s="2">
        <v>10</v>
      </c>
      <c r="M31" s="2" t="str">
        <f t="shared" si="9"/>
        <v>Reshape+TRL</v>
      </c>
      <c r="N31" s="2" t="str">
        <f>"trl:: (4,1,1,10,1,1,4)"</f>
        <v>trl:: (4,1,1,10,1,1,4)</v>
      </c>
      <c r="O31" s="2" t="str">
        <f xml:space="preserve"> "(16,2,2)-type2"</f>
        <v>(16,2,2)-type2</v>
      </c>
      <c r="P31" s="2" t="str">
        <f>"(2048,6,6) --&gt; (16,2,2,128,3,3) --&gt; (10)"</f>
        <v>(2048,6,6) --&gt; (16,2,2,128,3,3) --&gt; (10)</v>
      </c>
      <c r="Q31" s="10">
        <f>1386</f>
        <v>1386</v>
      </c>
      <c r="R31" s="10">
        <f t="shared" si="8"/>
        <v>23509418</v>
      </c>
      <c r="S31" s="2">
        <f xml:space="preserve"> (1-(Q31/Q20))*100</f>
        <v>99.812014268469667</v>
      </c>
      <c r="T31" s="2" t="s">
        <v>13</v>
      </c>
      <c r="U31" s="2" t="s">
        <v>12</v>
      </c>
      <c r="V31" s="2" t="s">
        <v>15</v>
      </c>
      <c r="W31" s="2" t="s">
        <v>17</v>
      </c>
      <c r="X31" s="2">
        <v>0.92347997400000004</v>
      </c>
      <c r="Y31" s="2">
        <v>0.99636000400000002</v>
      </c>
      <c r="Z31" s="2">
        <v>0.89039999199999997</v>
      </c>
      <c r="AA31" s="2">
        <v>0.99439996500000005</v>
      </c>
    </row>
    <row r="32" spans="6:27" ht="22.2" thickTop="1" thickBot="1" x14ac:dyDescent="0.45">
      <c r="F32" s="7"/>
      <c r="G32" s="17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spans="6:27" ht="43.2" thickTop="1" thickBot="1" x14ac:dyDescent="0.45">
      <c r="F33" s="15"/>
      <c r="G33" s="20">
        <v>1</v>
      </c>
      <c r="H33" s="5" t="s">
        <v>51</v>
      </c>
      <c r="I33" s="2" t="str">
        <f t="shared" ref="I33:I44" si="10" xml:space="preserve"> "Resnet50"</f>
        <v>Resnet50</v>
      </c>
      <c r="J33" s="2" t="str">
        <f t="shared" ref="J33:J44" si="11" xml:space="preserve"> "TINY"</f>
        <v>TINY</v>
      </c>
      <c r="K33" s="2" t="str">
        <f t="shared" ref="K33:K44" si="12" xml:space="preserve"> "(3,192,192)"</f>
        <v>(3,192,192)</v>
      </c>
      <c r="L33" s="2">
        <v>200</v>
      </c>
      <c r="M33" s="2" t="str">
        <f xml:space="preserve"> "Dropout+Linear"</f>
        <v>Dropout+Linear</v>
      </c>
      <c r="N33" s="2" t="s">
        <v>9</v>
      </c>
      <c r="O33" s="2" t="b">
        <f xml:space="preserve"> FALSE</f>
        <v>0</v>
      </c>
      <c r="P33" s="2" t="str">
        <f>"(2048,6,6) --&gt; (200)"</f>
        <v>(2048,6,6) --&gt; (200)</v>
      </c>
      <c r="Q33" s="10">
        <f>14745800</f>
        <v>14745800</v>
      </c>
      <c r="R33" s="10">
        <f>38253832</f>
        <v>38253832</v>
      </c>
      <c r="S33" s="2" t="s">
        <v>18</v>
      </c>
      <c r="T33" s="2" t="s">
        <v>109</v>
      </c>
      <c r="U33" s="2" t="s">
        <v>13</v>
      </c>
      <c r="V33" s="2" t="s">
        <v>15</v>
      </c>
      <c r="W33" s="2" t="s">
        <v>110</v>
      </c>
      <c r="X33" s="2">
        <v>0.87820994900000005</v>
      </c>
      <c r="Y33" s="2">
        <v>0.98069000200000001</v>
      </c>
      <c r="Z33" s="2">
        <v>0.75779998299999995</v>
      </c>
      <c r="AA33" s="2">
        <v>0.90829998300000003</v>
      </c>
    </row>
    <row r="34" spans="6:27" ht="43.2" thickTop="1" thickBot="1" x14ac:dyDescent="0.45">
      <c r="F34" s="15"/>
      <c r="G34" s="20">
        <v>1</v>
      </c>
      <c r="H34" s="5" t="s">
        <v>52</v>
      </c>
      <c r="I34" s="2" t="str">
        <f t="shared" si="10"/>
        <v>Resnet50</v>
      </c>
      <c r="J34" s="2" t="str">
        <f t="shared" si="11"/>
        <v>TINY</v>
      </c>
      <c r="K34" s="2" t="str">
        <f t="shared" si="12"/>
        <v>(3,192,192)</v>
      </c>
      <c r="L34" s="2">
        <v>200</v>
      </c>
      <c r="M34" s="2" t="str">
        <f xml:space="preserve"> "TRL"</f>
        <v>TRL</v>
      </c>
      <c r="N34" s="2" t="str">
        <f>"trl:: (1024,3,3,200)"</f>
        <v>trl:: (1024,3,3,200)</v>
      </c>
      <c r="O34" s="2" t="b">
        <f xml:space="preserve"> FALSE</f>
        <v>0</v>
      </c>
      <c r="P34" s="2" t="str">
        <f>"(2048,6,6) --&gt; (200)"</f>
        <v>(2048,6,6) --&gt; (200)</v>
      </c>
      <c r="Q34" s="10">
        <f>3980388</f>
        <v>3980388</v>
      </c>
      <c r="R34" s="10">
        <f t="shared" ref="R34:R44" si="13" xml:space="preserve"> R33 - Q33 + Q34</f>
        <v>27488420</v>
      </c>
      <c r="S34" s="2">
        <f xml:space="preserve"> (1-(Q34/Q33))*100</f>
        <v>73.006632397021519</v>
      </c>
      <c r="T34" s="2" t="s">
        <v>109</v>
      </c>
      <c r="U34" s="2" t="s">
        <v>13</v>
      </c>
      <c r="V34" s="2" t="s">
        <v>15</v>
      </c>
      <c r="W34" s="2" t="s">
        <v>110</v>
      </c>
      <c r="X34" s="2">
        <v>0.96313995100000005</v>
      </c>
      <c r="Y34" s="2">
        <v>0.99846994899999997</v>
      </c>
      <c r="Z34" s="2">
        <v>0.80680000799999996</v>
      </c>
      <c r="AA34" s="2">
        <v>0.93729996699999996</v>
      </c>
    </row>
    <row r="35" spans="6:27" ht="43.2" thickTop="1" thickBot="1" x14ac:dyDescent="0.45">
      <c r="F35" s="15"/>
      <c r="G35" s="20">
        <v>1</v>
      </c>
      <c r="H35" s="5" t="s">
        <v>53</v>
      </c>
      <c r="I35" s="2" t="str">
        <f t="shared" si="10"/>
        <v>Resnet50</v>
      </c>
      <c r="J35" s="2" t="str">
        <f t="shared" si="11"/>
        <v>TINY</v>
      </c>
      <c r="K35" s="2" t="str">
        <f t="shared" si="12"/>
        <v>(3,192,192)</v>
      </c>
      <c r="L35" s="2">
        <v>200</v>
      </c>
      <c r="M35" s="2" t="str">
        <f xml:space="preserve"> "TRL"</f>
        <v>TRL</v>
      </c>
      <c r="N35" s="2" t="str">
        <f>"trl:: (600,3,3,200)"</f>
        <v>trl:: (600,3,3,200)</v>
      </c>
      <c r="O35" s="2" t="b">
        <f xml:space="preserve"> FALSE</f>
        <v>0</v>
      </c>
      <c r="P35" s="2" t="str">
        <f>"(2048,6,6) --&gt; (200)"</f>
        <v>(2048,6,6) --&gt; (200)</v>
      </c>
      <c r="Q35" s="10">
        <f>2348836</f>
        <v>2348836</v>
      </c>
      <c r="R35" s="10">
        <f t="shared" si="13"/>
        <v>25856868</v>
      </c>
      <c r="S35" s="2">
        <f xml:space="preserve"> (1-(Q35/Q33))*100</f>
        <v>84.071152463752384</v>
      </c>
      <c r="T35" s="2" t="s">
        <v>109</v>
      </c>
      <c r="U35" s="2" t="s">
        <v>13</v>
      </c>
      <c r="V35" s="2" t="s">
        <v>15</v>
      </c>
      <c r="W35" s="2" t="s">
        <v>110</v>
      </c>
      <c r="X35" s="2">
        <v>0.96099996600000004</v>
      </c>
      <c r="Y35" s="2">
        <v>0.99844998100000004</v>
      </c>
      <c r="Z35" s="2">
        <v>0.81089997300000005</v>
      </c>
      <c r="AA35" s="2">
        <v>0.93809998000000006</v>
      </c>
    </row>
    <row r="36" spans="6:27" ht="43.2" thickTop="1" thickBot="1" x14ac:dyDescent="0.45">
      <c r="F36" s="15"/>
      <c r="G36" s="20">
        <v>1</v>
      </c>
      <c r="H36" s="5" t="s">
        <v>54</v>
      </c>
      <c r="I36" s="2" t="str">
        <f t="shared" si="10"/>
        <v>Resnet50</v>
      </c>
      <c r="J36" s="2" t="str">
        <f t="shared" si="11"/>
        <v>TINY</v>
      </c>
      <c r="K36" s="2" t="str">
        <f t="shared" si="12"/>
        <v>(3,192,192)</v>
      </c>
      <c r="L36" s="2">
        <v>200</v>
      </c>
      <c r="M36" s="2" t="str">
        <f xml:space="preserve"> "TRL"</f>
        <v>TRL</v>
      </c>
      <c r="N36" s="2" t="str">
        <f>"trl:: (500,3,3,150)"</f>
        <v>trl:: (500,3,3,150)</v>
      </c>
      <c r="O36" s="2" t="b">
        <f xml:space="preserve"> FALSE</f>
        <v>0</v>
      </c>
      <c r="P36" s="2" t="str">
        <f>"(2048,6,6) --&gt; (200)"</f>
        <v>(2048,6,6) --&gt; (200)</v>
      </c>
      <c r="Q36" s="10">
        <f>1729036</f>
        <v>1729036</v>
      </c>
      <c r="R36" s="10">
        <f t="shared" si="13"/>
        <v>25237068</v>
      </c>
      <c r="S36" s="2">
        <f xml:space="preserve"> (1-(Q36/Q33))*100</f>
        <v>88.274383214203368</v>
      </c>
      <c r="T36" s="2" t="s">
        <v>109</v>
      </c>
      <c r="U36" s="2" t="s">
        <v>13</v>
      </c>
      <c r="V36" s="2" t="s">
        <v>15</v>
      </c>
      <c r="W36" s="2" t="s">
        <v>110</v>
      </c>
      <c r="X36" s="2">
        <v>0.95857995699999998</v>
      </c>
      <c r="Y36" s="2">
        <v>0.998249948</v>
      </c>
      <c r="Z36" s="2">
        <v>0.81339997100000005</v>
      </c>
      <c r="AA36" s="2">
        <v>0.94009995499999999</v>
      </c>
    </row>
    <row r="37" spans="6:27" ht="43.2" thickTop="1" thickBot="1" x14ac:dyDescent="0.45">
      <c r="F37" s="15"/>
      <c r="G37" s="20">
        <v>1</v>
      </c>
      <c r="H37" s="5" t="s">
        <v>55</v>
      </c>
      <c r="I37" s="2" t="str">
        <f t="shared" si="10"/>
        <v>Resnet50</v>
      </c>
      <c r="J37" s="2" t="str">
        <f t="shared" si="11"/>
        <v>TINY</v>
      </c>
      <c r="K37" s="2" t="str">
        <f t="shared" si="12"/>
        <v>(3,192,192)</v>
      </c>
      <c r="L37" s="2">
        <v>200</v>
      </c>
      <c r="M37" s="2" t="str">
        <f t="shared" ref="M37:M44" si="14">"Reshape+TRL"</f>
        <v>Reshape+TRL</v>
      </c>
      <c r="N37" s="2" t="str">
        <f>"trl:: (1,1,1,500,1,1,200)"</f>
        <v>trl:: (1,1,1,500,1,1,200)</v>
      </c>
      <c r="O37" s="2" t="str">
        <f xml:space="preserve"> "(2,2,2)-type1"</f>
        <v>(2,2,2)-type1</v>
      </c>
      <c r="P37" s="2" t="str">
        <f>"(2048,6,6) --&gt; (2,2,2,1024,3,3) --&gt; (200)"</f>
        <v>(2048,6,6) --&gt; (2,2,2,1024,3,3) --&gt; (200)</v>
      </c>
      <c r="Q37" s="10">
        <f>652012</f>
        <v>652012</v>
      </c>
      <c r="R37" s="10">
        <f t="shared" si="13"/>
        <v>24160044</v>
      </c>
      <c r="S37" s="2">
        <f xml:space="preserve"> (1-(Q37/Q33))*100</f>
        <v>95.578320606545603</v>
      </c>
      <c r="T37" s="2" t="s">
        <v>109</v>
      </c>
      <c r="U37" s="2" t="s">
        <v>13</v>
      </c>
      <c r="V37" s="2" t="s">
        <v>15</v>
      </c>
      <c r="W37" s="2" t="s">
        <v>110</v>
      </c>
      <c r="X37" s="2">
        <v>0.94349998199999996</v>
      </c>
      <c r="Y37" s="2">
        <v>0.995469987</v>
      </c>
      <c r="Z37" s="2">
        <v>0.81869995600000001</v>
      </c>
      <c r="AA37" s="2">
        <v>0.94579994700000003</v>
      </c>
    </row>
    <row r="38" spans="6:27" ht="43.2" thickTop="1" thickBot="1" x14ac:dyDescent="0.45">
      <c r="F38" s="15"/>
      <c r="G38" s="20">
        <v>1</v>
      </c>
      <c r="H38" s="5" t="s">
        <v>56</v>
      </c>
      <c r="I38" s="2" t="str">
        <f t="shared" si="10"/>
        <v>Resnet50</v>
      </c>
      <c r="J38" s="2" t="str">
        <f t="shared" si="11"/>
        <v>TINY</v>
      </c>
      <c r="K38" s="2" t="str">
        <f t="shared" si="12"/>
        <v>(3,192,192)</v>
      </c>
      <c r="L38" s="2">
        <v>200</v>
      </c>
      <c r="M38" s="2" t="str">
        <f t="shared" si="14"/>
        <v>Reshape+TRL</v>
      </c>
      <c r="N38" s="2" t="str">
        <f>"trl:: (1,1,1,500,1,1,200)"</f>
        <v>trl:: (1,1,1,500,1,1,200)</v>
      </c>
      <c r="O38" s="2" t="str">
        <f xml:space="preserve"> "(2,2,2)-type2"</f>
        <v>(2,2,2)-type2</v>
      </c>
      <c r="P38" s="2" t="str">
        <f>"(2048,6,6) --&gt; (2,2,2,1024,3,3) --&gt; (200)"</f>
        <v>(2048,6,6) --&gt; (2,2,2,1024,3,3) --&gt; (200)</v>
      </c>
      <c r="Q38" s="10">
        <f>652012</f>
        <v>652012</v>
      </c>
      <c r="R38" s="10">
        <f t="shared" si="13"/>
        <v>24160044</v>
      </c>
      <c r="S38" s="2">
        <f xml:space="preserve"> (1-(Q38/Q33))*100</f>
        <v>95.578320606545603</v>
      </c>
      <c r="T38" s="2" t="s">
        <v>109</v>
      </c>
      <c r="U38" s="2" t="s">
        <v>13</v>
      </c>
      <c r="V38" s="2" t="s">
        <v>15</v>
      </c>
      <c r="W38" s="2" t="s">
        <v>110</v>
      </c>
      <c r="X38" s="2">
        <v>0.94514995800000001</v>
      </c>
      <c r="Y38" s="2">
        <v>0.99605995400000003</v>
      </c>
      <c r="Z38" s="2">
        <v>0.81949996899999999</v>
      </c>
      <c r="AA38" s="2">
        <v>0.94329994900000003</v>
      </c>
    </row>
    <row r="39" spans="6:27" ht="43.2" thickTop="1" thickBot="1" x14ac:dyDescent="0.45">
      <c r="F39" s="15"/>
      <c r="G39" s="20">
        <v>1</v>
      </c>
      <c r="H39" s="5" t="s">
        <v>57</v>
      </c>
      <c r="I39" s="2" t="str">
        <f t="shared" si="10"/>
        <v>Resnet50</v>
      </c>
      <c r="J39" s="2" t="str">
        <f t="shared" si="11"/>
        <v>TINY</v>
      </c>
      <c r="K39" s="2" t="str">
        <f t="shared" si="12"/>
        <v>(3,192,192)</v>
      </c>
      <c r="L39" s="2">
        <v>200</v>
      </c>
      <c r="M39" s="2" t="str">
        <f t="shared" si="14"/>
        <v>Reshape+TRL</v>
      </c>
      <c r="N39" s="2" t="str">
        <f>"trl:: (1,1,1,100,1,1,100)"</f>
        <v>trl:: (1,1,1,100,1,1,100)</v>
      </c>
      <c r="O39" s="2" t="str">
        <f xml:space="preserve"> "(2,2,2)-type1"</f>
        <v>(2,2,2)-type1</v>
      </c>
      <c r="P39" s="2" t="str">
        <f>"(2048,6,6) --&gt; (2,2,2,1024,3,3) --&gt; (200)"</f>
        <v>(2048,6,6) --&gt; (2,2,2,1024,3,3) --&gt; (200)</v>
      </c>
      <c r="Q39" s="10">
        <f>132412</f>
        <v>132412</v>
      </c>
      <c r="R39" s="10">
        <f t="shared" si="13"/>
        <v>23640444</v>
      </c>
      <c r="S39" s="2">
        <f xml:space="preserve"> (1-(Q39/Q33))*100</f>
        <v>99.102035833932376</v>
      </c>
      <c r="T39" s="2" t="s">
        <v>109</v>
      </c>
      <c r="U39" s="2" t="s">
        <v>13</v>
      </c>
      <c r="V39" s="2" t="s">
        <v>15</v>
      </c>
      <c r="W39" s="2" t="s">
        <v>110</v>
      </c>
      <c r="X39" s="2">
        <v>0.92127996700000003</v>
      </c>
      <c r="Y39" s="2">
        <v>0.98805999799999999</v>
      </c>
      <c r="Z39" s="2">
        <v>0.82029998299999995</v>
      </c>
      <c r="AA39" s="2">
        <v>0.945499957</v>
      </c>
    </row>
    <row r="40" spans="6:27" ht="43.2" thickTop="1" thickBot="1" x14ac:dyDescent="0.45">
      <c r="F40" s="15"/>
      <c r="G40" s="20">
        <v>1</v>
      </c>
      <c r="H40" s="5" t="s">
        <v>58</v>
      </c>
      <c r="I40" s="2" t="str">
        <f t="shared" si="10"/>
        <v>Resnet50</v>
      </c>
      <c r="J40" s="2" t="str">
        <f t="shared" si="11"/>
        <v>TINY</v>
      </c>
      <c r="K40" s="2" t="str">
        <f t="shared" si="12"/>
        <v>(3,192,192)</v>
      </c>
      <c r="L40" s="2">
        <v>200</v>
      </c>
      <c r="M40" s="2" t="str">
        <f t="shared" si="14"/>
        <v>Reshape+TRL</v>
      </c>
      <c r="N40" s="2" t="str">
        <f>"trl:: (1,1,1,100,1,1,100)"</f>
        <v>trl:: (1,1,1,100,1,1,100)</v>
      </c>
      <c r="O40" s="2" t="str">
        <f xml:space="preserve"> "(2,2,2)-type2"</f>
        <v>(2,2,2)-type2</v>
      </c>
      <c r="P40" s="2" t="str">
        <f>"(2048,6,6) --&gt; (2,2,2,1024,3,3) --&gt; (200)"</f>
        <v>(2048,6,6) --&gt; (2,2,2,1024,3,3) --&gt; (200)</v>
      </c>
      <c r="Q40" s="10">
        <f>132412</f>
        <v>132412</v>
      </c>
      <c r="R40" s="10">
        <f t="shared" si="13"/>
        <v>23640444</v>
      </c>
      <c r="S40" s="2">
        <f xml:space="preserve"> (1-(Q40/Q33))*100</f>
        <v>99.102035833932376</v>
      </c>
      <c r="T40" s="2" t="s">
        <v>109</v>
      </c>
      <c r="U40" s="2" t="s">
        <v>13</v>
      </c>
      <c r="V40" s="2" t="s">
        <v>15</v>
      </c>
      <c r="W40" s="2" t="s">
        <v>110</v>
      </c>
      <c r="X40" s="2">
        <v>0.92683994800000002</v>
      </c>
      <c r="Y40" s="2">
        <v>0.99030995399999999</v>
      </c>
      <c r="Z40" s="2">
        <v>0.82739996900000001</v>
      </c>
      <c r="AA40" s="2">
        <v>0.94499999300000004</v>
      </c>
    </row>
    <row r="41" spans="6:27" ht="43.2" thickTop="1" thickBot="1" x14ac:dyDescent="0.45">
      <c r="F41" s="15"/>
      <c r="G41" s="20">
        <v>1</v>
      </c>
      <c r="H41" s="5" t="s">
        <v>59</v>
      </c>
      <c r="I41" s="2" t="str">
        <f t="shared" si="10"/>
        <v>Resnet50</v>
      </c>
      <c r="J41" s="2" t="str">
        <f t="shared" si="11"/>
        <v>TINY</v>
      </c>
      <c r="K41" s="2" t="str">
        <f t="shared" si="12"/>
        <v>(3,192,192)</v>
      </c>
      <c r="L41" s="2">
        <v>200</v>
      </c>
      <c r="M41" s="2" t="str">
        <f t="shared" si="14"/>
        <v>Reshape+TRL</v>
      </c>
      <c r="N41" s="2" t="str">
        <f>"trl:: (4,1,1,100,1,1,200)"</f>
        <v>trl:: (4,1,1,100,1,1,200)</v>
      </c>
      <c r="O41" s="2" t="str">
        <f xml:space="preserve"> "(16,2,2)-type1"</f>
        <v>(16,2,2)-type1</v>
      </c>
      <c r="P41" s="2" t="str">
        <f>"(2048,6,6) --&gt; (16,2,2,128,3,3) --&gt; (200)"</f>
        <v>(2048,6,6) --&gt; (16,2,2,128,3,3) --&gt; (200)</v>
      </c>
      <c r="Q41" s="10">
        <f>222474</f>
        <v>222474</v>
      </c>
      <c r="R41" s="10">
        <f t="shared" si="13"/>
        <v>23730506</v>
      </c>
      <c r="S41" s="2">
        <f xml:space="preserve"> (1-(Q41/Q33))*100</f>
        <v>98.491272091036095</v>
      </c>
      <c r="T41" s="2" t="s">
        <v>109</v>
      </c>
      <c r="U41" s="2" t="s">
        <v>13</v>
      </c>
      <c r="V41" s="2" t="s">
        <v>15</v>
      </c>
      <c r="W41" s="2" t="s">
        <v>110</v>
      </c>
      <c r="X41" s="2">
        <v>0.91512000599999999</v>
      </c>
      <c r="Y41" s="2">
        <v>0.986029983</v>
      </c>
      <c r="Z41" s="2">
        <v>0.82649999900000004</v>
      </c>
      <c r="AA41" s="2">
        <v>0.94879996799999999</v>
      </c>
    </row>
    <row r="42" spans="6:27" ht="43.2" thickTop="1" thickBot="1" x14ac:dyDescent="0.45">
      <c r="F42" s="15"/>
      <c r="G42" s="20">
        <v>1</v>
      </c>
      <c r="H42" s="5" t="s">
        <v>60</v>
      </c>
      <c r="I42" s="2" t="str">
        <f t="shared" si="10"/>
        <v>Resnet50</v>
      </c>
      <c r="J42" s="2" t="str">
        <f t="shared" si="11"/>
        <v>TINY</v>
      </c>
      <c r="K42" s="2" t="str">
        <f t="shared" si="12"/>
        <v>(3,192,192)</v>
      </c>
      <c r="L42" s="2">
        <v>200</v>
      </c>
      <c r="M42" s="2" t="str">
        <f t="shared" si="14"/>
        <v>Reshape+TRL</v>
      </c>
      <c r="N42" s="2" t="str">
        <f>"trl:: (4,1,1,100,1,1,200)"</f>
        <v>trl:: (4,1,1,100,1,1,200)</v>
      </c>
      <c r="O42" s="2" t="str">
        <f xml:space="preserve"> "(16,2,2)-type2"</f>
        <v>(16,2,2)-type2</v>
      </c>
      <c r="P42" s="2" t="str">
        <f>"(2048,6,6) --&gt; (16,2,2,128,3,3) --&gt; (200)"</f>
        <v>(2048,6,6) --&gt; (16,2,2,128,3,3) --&gt; (200)</v>
      </c>
      <c r="Q42" s="10">
        <f>222474</f>
        <v>222474</v>
      </c>
      <c r="R42" s="10">
        <f t="shared" si="13"/>
        <v>23730506</v>
      </c>
      <c r="S42" s="2">
        <f xml:space="preserve"> (1-(Q42/Q33))*100</f>
        <v>98.491272091036095</v>
      </c>
      <c r="T42" s="2" t="s">
        <v>109</v>
      </c>
      <c r="U42" s="2" t="s">
        <v>13</v>
      </c>
      <c r="V42" s="2" t="s">
        <v>15</v>
      </c>
      <c r="W42" s="2" t="s">
        <v>110</v>
      </c>
      <c r="X42" s="2">
        <v>0.93201994899999996</v>
      </c>
      <c r="Y42" s="2">
        <v>0.99160999100000002</v>
      </c>
      <c r="Z42" s="2">
        <v>0.81929999600000003</v>
      </c>
      <c r="AA42" s="2">
        <v>0.94629996999999999</v>
      </c>
    </row>
    <row r="43" spans="6:27" ht="43.2" thickTop="1" thickBot="1" x14ac:dyDescent="0.45">
      <c r="F43" s="15"/>
      <c r="G43" s="20">
        <v>1</v>
      </c>
      <c r="H43" s="5" t="s">
        <v>61</v>
      </c>
      <c r="I43" s="7" t="str">
        <f t="shared" si="10"/>
        <v>Resnet50</v>
      </c>
      <c r="J43" s="7" t="str">
        <f t="shared" si="11"/>
        <v>TINY</v>
      </c>
      <c r="K43" s="7" t="str">
        <f t="shared" si="12"/>
        <v>(3,192,192)</v>
      </c>
      <c r="L43" s="7">
        <v>200</v>
      </c>
      <c r="M43" s="7" t="str">
        <f t="shared" si="14"/>
        <v>Reshape+TRL</v>
      </c>
      <c r="N43" s="7" t="str">
        <f>"trl:: (4,1,1,50,1,1,100)"</f>
        <v>trl:: (4,1,1,50,1,1,100)</v>
      </c>
      <c r="O43" s="7" t="str">
        <f xml:space="preserve"> "(16,2,2)-type1"</f>
        <v>(16,2,2)-type1</v>
      </c>
      <c r="P43" s="7" t="str">
        <f>"(2048,6,6) --&gt; (16,2,2,128,3,3) --&gt; (200)"</f>
        <v>(2048,6,6) --&gt; (16,2,2,128,3,3) --&gt; (200)</v>
      </c>
      <c r="Q43" s="18">
        <f>91274</f>
        <v>91274</v>
      </c>
      <c r="R43" s="18">
        <f t="shared" si="13"/>
        <v>23599306</v>
      </c>
      <c r="S43" s="7">
        <f xml:space="preserve"> (1-(Q43/Q33))*100</f>
        <v>99.381016967543303</v>
      </c>
      <c r="T43" s="2" t="s">
        <v>109</v>
      </c>
      <c r="U43" s="2" t="s">
        <v>13</v>
      </c>
      <c r="V43" s="7" t="s">
        <v>15</v>
      </c>
      <c r="W43" s="2" t="s">
        <v>110</v>
      </c>
      <c r="X43" s="2">
        <v>0.91926997899999996</v>
      </c>
      <c r="Y43" s="2">
        <v>0.98724997000000003</v>
      </c>
      <c r="Z43" s="2">
        <v>0.82389998399999997</v>
      </c>
      <c r="AA43" s="2">
        <v>0.94359999900000002</v>
      </c>
    </row>
    <row r="44" spans="6:27" ht="43.2" thickTop="1" thickBot="1" x14ac:dyDescent="0.45">
      <c r="F44" s="15"/>
      <c r="G44" s="20">
        <v>1</v>
      </c>
      <c r="H44" s="5" t="s">
        <v>62</v>
      </c>
      <c r="I44" s="2" t="str">
        <f t="shared" si="10"/>
        <v>Resnet50</v>
      </c>
      <c r="J44" s="2" t="str">
        <f t="shared" si="11"/>
        <v>TINY</v>
      </c>
      <c r="K44" s="2" t="str">
        <f t="shared" si="12"/>
        <v>(3,192,192)</v>
      </c>
      <c r="L44" s="2">
        <v>200</v>
      </c>
      <c r="M44" s="2" t="str">
        <f t="shared" si="14"/>
        <v>Reshape+TRL</v>
      </c>
      <c r="N44" s="2" t="str">
        <f>"trl:: (4,1,1,50,1,1,100)"</f>
        <v>trl:: (4,1,1,50,1,1,100)</v>
      </c>
      <c r="O44" s="2" t="str">
        <f xml:space="preserve"> "(16,2,2)-type2"</f>
        <v>(16,2,2)-type2</v>
      </c>
      <c r="P44" s="2" t="str">
        <f>"(2048,6,6) --&gt; (16,2,2,128,3,3) --&gt; (200)"</f>
        <v>(2048,6,6) --&gt; (16,2,2,128,3,3) --&gt; (200)</v>
      </c>
      <c r="Q44" s="10">
        <f>91274</f>
        <v>91274</v>
      </c>
      <c r="R44" s="10">
        <f t="shared" si="13"/>
        <v>23599306</v>
      </c>
      <c r="S44" s="2">
        <f xml:space="preserve"> (1-(Q44/Q33))*100</f>
        <v>99.381016967543303</v>
      </c>
      <c r="T44" s="2" t="s">
        <v>109</v>
      </c>
      <c r="U44" s="2" t="s">
        <v>13</v>
      </c>
      <c r="V44" s="2" t="s">
        <v>15</v>
      </c>
      <c r="W44" s="2" t="s">
        <v>110</v>
      </c>
      <c r="X44" s="2">
        <v>0.91260999399999998</v>
      </c>
      <c r="Y44" s="2">
        <v>0.98383998900000003</v>
      </c>
      <c r="Z44" s="2">
        <v>0.82309997099999999</v>
      </c>
      <c r="AA44" s="2">
        <v>0.94479995999999999</v>
      </c>
    </row>
    <row r="45" spans="6:27" ht="22.2" thickTop="1" thickBot="1" x14ac:dyDescent="0.45">
      <c r="F45" s="7"/>
      <c r="G45" s="17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spans="6:27" ht="22.2" thickTop="1" thickBot="1" x14ac:dyDescent="0.45">
      <c r="F46" s="15"/>
      <c r="G46" s="20">
        <v>1</v>
      </c>
      <c r="H46" s="5" t="s">
        <v>63</v>
      </c>
      <c r="I46" s="2" t="str">
        <f t="shared" ref="I46:I57" si="15" xml:space="preserve"> "Resnet101"</f>
        <v>Resnet101</v>
      </c>
      <c r="J46" s="2" t="str">
        <f t="shared" ref="J46:J57" si="16" xml:space="preserve"> "MNIST"</f>
        <v>MNIST</v>
      </c>
      <c r="K46" s="2" t="str">
        <f t="shared" ref="K46:K57" si="17" xml:space="preserve"> "(3,192,192)"</f>
        <v>(3,192,192)</v>
      </c>
      <c r="L46" s="2">
        <v>10</v>
      </c>
      <c r="M46" s="2" t="str">
        <f xml:space="preserve"> "Linear"</f>
        <v>Linear</v>
      </c>
      <c r="N46" s="2" t="s">
        <v>9</v>
      </c>
      <c r="O46" s="2" t="b">
        <f xml:space="preserve"> FALSE</f>
        <v>0</v>
      </c>
      <c r="P46" s="2" t="str">
        <f>"(2048,6,6) --&gt; (10)"</f>
        <v>(2048,6,6) --&gt; (10)</v>
      </c>
      <c r="Q46" s="10">
        <f xml:space="preserve"> 737290</f>
        <v>737290</v>
      </c>
      <c r="R46" s="10">
        <f>43237450</f>
        <v>43237450</v>
      </c>
      <c r="S46" s="2" t="s">
        <v>18</v>
      </c>
      <c r="T46" s="2" t="s">
        <v>13</v>
      </c>
      <c r="U46" s="2" t="s">
        <v>12</v>
      </c>
      <c r="V46" s="2" t="s">
        <v>15</v>
      </c>
      <c r="W46" s="2" t="s">
        <v>17</v>
      </c>
      <c r="X46" s="2">
        <v>0.98328334100000003</v>
      </c>
      <c r="Y46" s="2">
        <v>0.99975001799999996</v>
      </c>
      <c r="Z46" s="2">
        <v>0.98589998499999998</v>
      </c>
      <c r="AA46" s="2">
        <v>0.99979996699999996</v>
      </c>
    </row>
    <row r="47" spans="6:27" ht="22.2" thickTop="1" thickBot="1" x14ac:dyDescent="0.45">
      <c r="F47" s="15"/>
      <c r="G47" s="20">
        <v>1</v>
      </c>
      <c r="H47" s="5" t="s">
        <v>64</v>
      </c>
      <c r="I47" s="2" t="str">
        <f t="shared" si="15"/>
        <v>Resnet101</v>
      </c>
      <c r="J47" s="2" t="str">
        <f t="shared" si="16"/>
        <v>MNIST</v>
      </c>
      <c r="K47" s="2" t="str">
        <f t="shared" si="17"/>
        <v>(3,192,192)</v>
      </c>
      <c r="L47" s="2">
        <v>10</v>
      </c>
      <c r="M47" s="2" t="str">
        <f xml:space="preserve"> "TRL"</f>
        <v>TRL</v>
      </c>
      <c r="N47" s="2" t="str">
        <f>"trl:: (200,3,3,8)"</f>
        <v>trl:: (200,3,3,8)</v>
      </c>
      <c r="O47" s="2" t="b">
        <f xml:space="preserve"> FALSE</f>
        <v>0</v>
      </c>
      <c r="P47" s="2" t="str">
        <f>"(2048,6,6) --&gt; (10)"</f>
        <v>(2048,6,6) --&gt; (10)</v>
      </c>
      <c r="Q47" s="10">
        <f>424116</f>
        <v>424116</v>
      </c>
      <c r="R47" s="10">
        <f t="shared" ref="R47:R57" si="18" xml:space="preserve"> R46 - Q46 + Q47</f>
        <v>42924276</v>
      </c>
      <c r="S47" s="2">
        <f xml:space="preserve"> (1-(Q47/Q46))*100</f>
        <v>42.476366151717784</v>
      </c>
      <c r="T47" s="2" t="s">
        <v>13</v>
      </c>
      <c r="U47" s="2" t="s">
        <v>12</v>
      </c>
      <c r="V47" s="2" t="s">
        <v>15</v>
      </c>
      <c r="W47" s="2" t="s">
        <v>17</v>
      </c>
      <c r="X47" s="2">
        <v>0.98820000900000005</v>
      </c>
      <c r="Y47" s="2">
        <v>0.99989998300000005</v>
      </c>
      <c r="Z47" s="2">
        <v>0.98359996100000002</v>
      </c>
      <c r="AA47" s="2">
        <v>0.99989998300000005</v>
      </c>
    </row>
    <row r="48" spans="6:27" ht="22.2" thickTop="1" thickBot="1" x14ac:dyDescent="0.45">
      <c r="F48" s="15"/>
      <c r="G48" s="20">
        <v>1</v>
      </c>
      <c r="H48" s="5" t="s">
        <v>65</v>
      </c>
      <c r="I48" s="2" t="str">
        <f t="shared" si="15"/>
        <v>Resnet101</v>
      </c>
      <c r="J48" s="2" t="str">
        <f t="shared" si="16"/>
        <v>MNIST</v>
      </c>
      <c r="K48" s="2" t="str">
        <f t="shared" si="17"/>
        <v>(3,192,192)</v>
      </c>
      <c r="L48" s="2">
        <v>10</v>
      </c>
      <c r="M48" s="2" t="str">
        <f xml:space="preserve"> "TRL"</f>
        <v>TRL</v>
      </c>
      <c r="N48" s="2" t="str">
        <f>"trl:: (100,3,3,10)"</f>
        <v>trl:: (100,3,3,10)</v>
      </c>
      <c r="O48" s="2" t="b">
        <f xml:space="preserve"> FALSE</f>
        <v>0</v>
      </c>
      <c r="P48" s="2" t="str">
        <f>"(2048,6,6) --&gt; (10)"</f>
        <v>(2048,6,6) --&gt; (10)</v>
      </c>
      <c r="Q48" s="10">
        <f>213936</f>
        <v>213936</v>
      </c>
      <c r="R48" s="10">
        <f t="shared" si="18"/>
        <v>42714096</v>
      </c>
      <c r="S48" s="2">
        <f xml:space="preserve"> (1-(Q48/Q46))*100</f>
        <v>70.983466478590501</v>
      </c>
      <c r="T48" s="2" t="s">
        <v>13</v>
      </c>
      <c r="U48" s="2" t="s">
        <v>12</v>
      </c>
      <c r="V48" s="2" t="s">
        <v>15</v>
      </c>
      <c r="W48" s="2" t="s">
        <v>17</v>
      </c>
      <c r="X48" s="2">
        <v>0.98846668000000004</v>
      </c>
      <c r="Y48" s="2">
        <v>0.99998337000000004</v>
      </c>
      <c r="Z48" s="2">
        <v>0.97990000200000005</v>
      </c>
      <c r="AA48" s="2">
        <v>0.99989998300000005</v>
      </c>
    </row>
    <row r="49" spans="6:27" ht="22.2" thickTop="1" thickBot="1" x14ac:dyDescent="0.45">
      <c r="F49" s="15"/>
      <c r="G49" s="20">
        <v>1</v>
      </c>
      <c r="H49" s="5" t="s">
        <v>66</v>
      </c>
      <c r="I49" s="2" t="str">
        <f t="shared" si="15"/>
        <v>Resnet101</v>
      </c>
      <c r="J49" s="2" t="str">
        <f t="shared" si="16"/>
        <v>MNIST</v>
      </c>
      <c r="K49" s="2" t="str">
        <f t="shared" si="17"/>
        <v>(3,192,192)</v>
      </c>
      <c r="L49" s="2">
        <v>10</v>
      </c>
      <c r="M49" s="2" t="str">
        <f xml:space="preserve"> "TRL"</f>
        <v>TRL</v>
      </c>
      <c r="N49" s="2" t="str">
        <f>"trl:: (50,3,3,3)"</f>
        <v>trl:: (50,3,3,3)</v>
      </c>
      <c r="O49" s="2" t="b">
        <f xml:space="preserve"> FALSE</f>
        <v>0</v>
      </c>
      <c r="P49" s="2" t="str">
        <f>"(2048,6,6) --&gt; (10)"</f>
        <v>(2048,6,6) --&gt; (10)</v>
      </c>
      <c r="Q49" s="10">
        <f>103816</f>
        <v>103816</v>
      </c>
      <c r="R49" s="10">
        <f t="shared" si="18"/>
        <v>42603976</v>
      </c>
      <c r="S49" s="2">
        <f xml:space="preserve"> (1-(Q49/Q46))*100</f>
        <v>85.919244801909699</v>
      </c>
      <c r="T49" s="2" t="s">
        <v>13</v>
      </c>
      <c r="U49" s="2" t="s">
        <v>12</v>
      </c>
      <c r="V49" s="2" t="s">
        <v>15</v>
      </c>
      <c r="W49" s="2" t="s">
        <v>17</v>
      </c>
      <c r="X49" s="2">
        <v>0.98453336999999996</v>
      </c>
      <c r="Y49" s="2">
        <v>0.998766661</v>
      </c>
      <c r="Z49" s="2">
        <v>0.97429996699999999</v>
      </c>
      <c r="AA49" s="2">
        <v>0.99869996299999997</v>
      </c>
    </row>
    <row r="50" spans="6:27" ht="22.2" thickTop="1" thickBot="1" x14ac:dyDescent="0.45">
      <c r="F50" s="15"/>
      <c r="G50" s="20">
        <v>1</v>
      </c>
      <c r="H50" s="5" t="s">
        <v>67</v>
      </c>
      <c r="I50" s="2" t="str">
        <f t="shared" si="15"/>
        <v>Resnet101</v>
      </c>
      <c r="J50" s="2" t="str">
        <f t="shared" si="16"/>
        <v>MNIST</v>
      </c>
      <c r="K50" s="2" t="str">
        <f t="shared" si="17"/>
        <v>(3,192,192)</v>
      </c>
      <c r="L50" s="2">
        <v>10</v>
      </c>
      <c r="M50" s="2" t="str">
        <f t="shared" ref="M50:M57" si="19">"Reshape+TRL"</f>
        <v>Reshape+TRL</v>
      </c>
      <c r="N50" s="2" t="str">
        <f>"trl:: (1,1,1,100,1,1,10)"</f>
        <v>trl:: (1,1,1,100,1,1,10)</v>
      </c>
      <c r="O50" s="2" t="str">
        <f xml:space="preserve"> "(2,2,2)-type1"</f>
        <v>(2,2,2)-type1</v>
      </c>
      <c r="P50" s="2" t="str">
        <f>"(2048,6,6) --&gt; (2,2,2,1024,3,3) --&gt; (10)"</f>
        <v>(2048,6,6) --&gt; (2,2,2,1024,3,3) --&gt; (10)</v>
      </c>
      <c r="Q50" s="10">
        <f>103512</f>
        <v>103512</v>
      </c>
      <c r="R50" s="10">
        <f t="shared" si="18"/>
        <v>42603672</v>
      </c>
      <c r="S50" s="2">
        <f xml:space="preserve"> (1-(Q50/Q46))*100</f>
        <v>85.960476881552722</v>
      </c>
      <c r="T50" s="2" t="s">
        <v>13</v>
      </c>
      <c r="U50" s="2" t="s">
        <v>12</v>
      </c>
      <c r="V50" s="2" t="s">
        <v>15</v>
      </c>
      <c r="W50" s="2" t="s">
        <v>17</v>
      </c>
      <c r="X50" s="2">
        <v>0.98768335600000001</v>
      </c>
      <c r="Y50" s="2">
        <v>0.99989998300000005</v>
      </c>
      <c r="Z50" s="2">
        <v>0.98039996600000001</v>
      </c>
      <c r="AA50" s="2">
        <v>0.99989998300000005</v>
      </c>
    </row>
    <row r="51" spans="6:27" ht="22.2" thickTop="1" thickBot="1" x14ac:dyDescent="0.45">
      <c r="F51" s="15"/>
      <c r="G51" s="20">
        <v>1</v>
      </c>
      <c r="H51" s="5" t="s">
        <v>68</v>
      </c>
      <c r="I51" s="2" t="str">
        <f t="shared" si="15"/>
        <v>Resnet101</v>
      </c>
      <c r="J51" s="2" t="str">
        <f t="shared" si="16"/>
        <v>MNIST</v>
      </c>
      <c r="K51" s="2" t="str">
        <f t="shared" si="17"/>
        <v>(3,192,192)</v>
      </c>
      <c r="L51" s="2">
        <v>10</v>
      </c>
      <c r="M51" s="2" t="str">
        <f t="shared" si="19"/>
        <v>Reshape+TRL</v>
      </c>
      <c r="N51" s="2" t="str">
        <f>"trl:: (1,1,1,100,1,1,10)"</f>
        <v>trl:: (1,1,1,100,1,1,10)</v>
      </c>
      <c r="O51" s="2" t="str">
        <f xml:space="preserve"> "(2,2,2)-type2"</f>
        <v>(2,2,2)-type2</v>
      </c>
      <c r="P51" s="2" t="str">
        <f>"(2048,6,6) --&gt; (2,2,2,1024,3,3) --&gt; (10)"</f>
        <v>(2048,6,6) --&gt; (2,2,2,1024,3,3) --&gt; (10)</v>
      </c>
      <c r="Q51" s="10">
        <f>103512</f>
        <v>103512</v>
      </c>
      <c r="R51" s="10">
        <f t="shared" si="18"/>
        <v>42603672</v>
      </c>
      <c r="S51" s="2">
        <f xml:space="preserve"> (1-(Q51/Q46))*100</f>
        <v>85.960476881552722</v>
      </c>
      <c r="T51" s="2" t="s">
        <v>13</v>
      </c>
      <c r="U51" s="2" t="s">
        <v>12</v>
      </c>
      <c r="V51" s="2" t="s">
        <v>15</v>
      </c>
      <c r="W51" s="2" t="s">
        <v>17</v>
      </c>
      <c r="X51" s="2">
        <v>0.98811668200000002</v>
      </c>
      <c r="Y51" s="2">
        <v>0.99988335399999995</v>
      </c>
      <c r="Z51" s="2">
        <v>0.97779995200000003</v>
      </c>
      <c r="AA51" s="2">
        <v>0.99969995</v>
      </c>
    </row>
    <row r="52" spans="6:27" ht="22.2" thickTop="1" thickBot="1" x14ac:dyDescent="0.45">
      <c r="F52" s="15"/>
      <c r="G52" s="20">
        <v>1</v>
      </c>
      <c r="H52" s="5" t="s">
        <v>69</v>
      </c>
      <c r="I52" s="2" t="str">
        <f t="shared" si="15"/>
        <v>Resnet101</v>
      </c>
      <c r="J52" s="2" t="str">
        <f t="shared" si="16"/>
        <v>MNIST</v>
      </c>
      <c r="K52" s="2" t="str">
        <f t="shared" si="17"/>
        <v>(3,192,192)</v>
      </c>
      <c r="L52" s="2">
        <v>10</v>
      </c>
      <c r="M52" s="2" t="str">
        <f t="shared" si="19"/>
        <v>Reshape+TRL</v>
      </c>
      <c r="N52" s="2" t="str">
        <f>"trl:: (1,1,1,20,1,1,4)"</f>
        <v>trl:: (1,1,1,20,1,1,4)</v>
      </c>
      <c r="O52" s="2" t="str">
        <f xml:space="preserve"> "(2,2,2)-type1"</f>
        <v>(2,2,2)-type1</v>
      </c>
      <c r="P52" s="2" t="str">
        <f>"(2048,6,6) --&gt; (2,2,2,1024,3,3) --&gt; (10)"</f>
        <v>(2048,6,6) --&gt; (2,2,2,1024,3,3) --&gt; (10)</v>
      </c>
      <c r="Q52" s="10">
        <f>20612</f>
        <v>20612</v>
      </c>
      <c r="R52" s="10">
        <f t="shared" si="18"/>
        <v>42520772</v>
      </c>
      <c r="S52" s="2">
        <f xml:space="preserve"> (1-(Q52/Q46))*100</f>
        <v>97.204356494730703</v>
      </c>
      <c r="T52" s="2" t="s">
        <v>13</v>
      </c>
      <c r="U52" s="2" t="s">
        <v>12</v>
      </c>
      <c r="V52" s="2" t="s">
        <v>15</v>
      </c>
      <c r="W52" s="2" t="s">
        <v>17</v>
      </c>
      <c r="X52" s="2">
        <v>0.98559999499999995</v>
      </c>
      <c r="Y52" s="2">
        <v>0.99919998600000004</v>
      </c>
      <c r="Z52" s="2">
        <v>0.98249995700000003</v>
      </c>
      <c r="AA52" s="2">
        <v>0.99849999</v>
      </c>
    </row>
    <row r="53" spans="6:27" ht="22.2" thickTop="1" thickBot="1" x14ac:dyDescent="0.45">
      <c r="F53" s="15"/>
      <c r="G53" s="20">
        <v>1</v>
      </c>
      <c r="H53" s="5" t="s">
        <v>70</v>
      </c>
      <c r="I53" s="2" t="str">
        <f t="shared" si="15"/>
        <v>Resnet101</v>
      </c>
      <c r="J53" s="2" t="str">
        <f t="shared" si="16"/>
        <v>MNIST</v>
      </c>
      <c r="K53" s="2" t="str">
        <f t="shared" si="17"/>
        <v>(3,192,192)</v>
      </c>
      <c r="L53" s="2">
        <v>10</v>
      </c>
      <c r="M53" s="2" t="str">
        <f t="shared" si="19"/>
        <v>Reshape+TRL</v>
      </c>
      <c r="N53" s="2" t="str">
        <f>"trl:: (1,1,1,20,1,1,4)"</f>
        <v>trl:: (1,1,1,20,1,1,4)</v>
      </c>
      <c r="O53" s="2" t="str">
        <f xml:space="preserve"> "(2,2,2)-type2"</f>
        <v>(2,2,2)-type2</v>
      </c>
      <c r="P53" s="2" t="str">
        <f>"(2048,6,6) --&gt; (2,2,2,1024,3,3) --&gt; (10)"</f>
        <v>(2048,6,6) --&gt; (2,2,2,1024,3,3) --&gt; (10)</v>
      </c>
      <c r="Q53" s="10">
        <f>20612</f>
        <v>20612</v>
      </c>
      <c r="R53" s="10">
        <f t="shared" si="18"/>
        <v>42520772</v>
      </c>
      <c r="S53" s="2">
        <f xml:space="preserve"> (1-(Q53/Q46))*100</f>
        <v>97.204356494730703</v>
      </c>
      <c r="T53" s="2" t="s">
        <v>13</v>
      </c>
      <c r="U53" s="2" t="s">
        <v>12</v>
      </c>
      <c r="V53" s="2" t="s">
        <v>15</v>
      </c>
      <c r="W53" s="2" t="s">
        <v>17</v>
      </c>
      <c r="X53" s="2">
        <v>0.98594999299999997</v>
      </c>
      <c r="Y53" s="2">
        <v>0.99926668399999996</v>
      </c>
      <c r="Z53" s="2">
        <v>0.98249995700000003</v>
      </c>
      <c r="AA53" s="2">
        <v>0.99909996999999995</v>
      </c>
    </row>
    <row r="54" spans="6:27" ht="22.2" thickTop="1" thickBot="1" x14ac:dyDescent="0.45">
      <c r="F54" s="15"/>
      <c r="G54" s="20">
        <v>1</v>
      </c>
      <c r="H54" s="5" t="s">
        <v>71</v>
      </c>
      <c r="I54" s="2" t="str">
        <f t="shared" si="15"/>
        <v>Resnet101</v>
      </c>
      <c r="J54" s="2" t="str">
        <f t="shared" si="16"/>
        <v>MNIST</v>
      </c>
      <c r="K54" s="2" t="str">
        <f t="shared" si="17"/>
        <v>(3,192,192)</v>
      </c>
      <c r="L54" s="2">
        <v>10</v>
      </c>
      <c r="M54" s="2" t="str">
        <f t="shared" si="19"/>
        <v>Reshape+TRL</v>
      </c>
      <c r="N54" s="2" t="str">
        <f>"trl:: (4,1,1,20,1,1,10)"</f>
        <v>trl:: (4,1,1,20,1,1,10)</v>
      </c>
      <c r="O54" s="2" t="str">
        <f xml:space="preserve"> "(16,2,2)-type1"</f>
        <v>(16,2,2)-type1</v>
      </c>
      <c r="P54" s="2" t="str">
        <f>"(2048,6,6) --&gt; (16,2,2,128,3,3) --&gt; (10)"</f>
        <v>(2048,6,6) --&gt; (16,2,2,128,3,3) --&gt; (10)</v>
      </c>
      <c r="Q54" s="10">
        <f>3534</f>
        <v>3534</v>
      </c>
      <c r="R54" s="10">
        <f t="shared" si="18"/>
        <v>42503694</v>
      </c>
      <c r="S54" s="2">
        <f xml:space="preserve"> (1-(Q54/Q46))*100</f>
        <v>99.52067707414993</v>
      </c>
      <c r="T54" s="2" t="s">
        <v>13</v>
      </c>
      <c r="U54" s="2" t="s">
        <v>12</v>
      </c>
      <c r="V54" s="2" t="s">
        <v>15</v>
      </c>
      <c r="W54" s="2" t="s">
        <v>17</v>
      </c>
      <c r="X54" s="2">
        <v>0.987216651</v>
      </c>
      <c r="Y54" s="2">
        <v>0.99994999200000001</v>
      </c>
      <c r="Z54" s="2">
        <v>0.98409998399999998</v>
      </c>
      <c r="AA54" s="2">
        <v>1</v>
      </c>
    </row>
    <row r="55" spans="6:27" ht="22.2" thickTop="1" thickBot="1" x14ac:dyDescent="0.45">
      <c r="F55" s="15"/>
      <c r="G55" s="20">
        <v>1</v>
      </c>
      <c r="H55" s="5" t="s">
        <v>72</v>
      </c>
      <c r="I55" s="2" t="str">
        <f t="shared" si="15"/>
        <v>Resnet101</v>
      </c>
      <c r="J55" s="2" t="str">
        <f t="shared" si="16"/>
        <v>MNIST</v>
      </c>
      <c r="K55" s="2" t="str">
        <f t="shared" si="17"/>
        <v>(3,192,192)</v>
      </c>
      <c r="L55" s="2">
        <v>10</v>
      </c>
      <c r="M55" s="2" t="str">
        <f t="shared" si="19"/>
        <v>Reshape+TRL</v>
      </c>
      <c r="N55" s="2" t="str">
        <f>"trl:: (4,1,1,20,1,1,10)"</f>
        <v>trl:: (4,1,1,20,1,1,10)</v>
      </c>
      <c r="O55" s="2" t="str">
        <f xml:space="preserve"> "(16,2,2)-type2"</f>
        <v>(16,2,2)-type2</v>
      </c>
      <c r="P55" s="2" t="str">
        <f>"(2048,6,6) --&gt; (16,2,2,128,3,3) --&gt; (10)"</f>
        <v>(2048,6,6) --&gt; (16,2,2,128,3,3) --&gt; (10)</v>
      </c>
      <c r="Q55" s="10">
        <f>3534</f>
        <v>3534</v>
      </c>
      <c r="R55" s="10">
        <f t="shared" si="18"/>
        <v>42503694</v>
      </c>
      <c r="S55" s="2">
        <f xml:space="preserve"> (1-(Q55/Q46))*100</f>
        <v>99.52067707414993</v>
      </c>
      <c r="T55" s="2" t="s">
        <v>13</v>
      </c>
      <c r="U55" s="2" t="s">
        <v>12</v>
      </c>
      <c r="V55" s="2" t="s">
        <v>15</v>
      </c>
      <c r="W55" s="2" t="s">
        <v>17</v>
      </c>
      <c r="X55" s="2">
        <v>0.98761665799999998</v>
      </c>
      <c r="Y55" s="2">
        <v>0.99988335399999995</v>
      </c>
      <c r="Z55" s="2">
        <v>0.98259997399999999</v>
      </c>
      <c r="AA55" s="2">
        <v>0.99959999300000002</v>
      </c>
    </row>
    <row r="56" spans="6:27" ht="22.2" thickTop="1" thickBot="1" x14ac:dyDescent="0.45">
      <c r="F56" s="15"/>
      <c r="G56" s="20">
        <v>1</v>
      </c>
      <c r="H56" s="5" t="s">
        <v>73</v>
      </c>
      <c r="I56" s="2" t="str">
        <f t="shared" si="15"/>
        <v>Resnet101</v>
      </c>
      <c r="J56" s="2" t="str">
        <f t="shared" si="16"/>
        <v>MNIST</v>
      </c>
      <c r="K56" s="2" t="str">
        <f t="shared" si="17"/>
        <v>(3,192,192)</v>
      </c>
      <c r="L56" s="2">
        <v>10</v>
      </c>
      <c r="M56" s="2" t="str">
        <f t="shared" si="19"/>
        <v>Reshape+TRL</v>
      </c>
      <c r="N56" s="2" t="str">
        <f>"trl:: (4,1,1,10,1,1,4)"</f>
        <v>trl:: (4,1,1,10,1,1,4)</v>
      </c>
      <c r="O56" s="2" t="str">
        <f xml:space="preserve"> "(16,2,2)-type1"</f>
        <v>(16,2,2)-type1</v>
      </c>
      <c r="P56" s="2" t="str">
        <f>"(2048,6,6) --&gt; (16,2,2,128,3,3) --&gt; (10)"</f>
        <v>(2048,6,6) --&gt; (16,2,2,128,3,3) --&gt; (10)</v>
      </c>
      <c r="Q56" s="10">
        <f>1386</f>
        <v>1386</v>
      </c>
      <c r="R56" s="10">
        <f t="shared" si="18"/>
        <v>42501546</v>
      </c>
      <c r="S56" s="2">
        <f xml:space="preserve"> (1-(Q56/Q46))*100</f>
        <v>99.812014268469667</v>
      </c>
      <c r="T56" s="2" t="s">
        <v>13</v>
      </c>
      <c r="U56" s="2" t="s">
        <v>12</v>
      </c>
      <c r="V56" s="2" t="s">
        <v>15</v>
      </c>
      <c r="W56" s="2" t="s">
        <v>17</v>
      </c>
      <c r="X56" s="2">
        <v>0.98536670199999998</v>
      </c>
      <c r="Y56" s="2">
        <v>0.99940001999999994</v>
      </c>
      <c r="Z56" s="2">
        <v>0.98039996600000001</v>
      </c>
      <c r="AA56" s="2">
        <v>0.99969995</v>
      </c>
    </row>
    <row r="57" spans="6:27" ht="22.2" thickTop="1" thickBot="1" x14ac:dyDescent="0.45">
      <c r="F57" s="15"/>
      <c r="G57" s="20">
        <v>1</v>
      </c>
      <c r="H57" s="5" t="s">
        <v>74</v>
      </c>
      <c r="I57" s="2" t="str">
        <f t="shared" si="15"/>
        <v>Resnet101</v>
      </c>
      <c r="J57" s="2" t="str">
        <f t="shared" si="16"/>
        <v>MNIST</v>
      </c>
      <c r="K57" s="2" t="str">
        <f t="shared" si="17"/>
        <v>(3,192,192)</v>
      </c>
      <c r="L57" s="2">
        <v>10</v>
      </c>
      <c r="M57" s="2" t="str">
        <f t="shared" si="19"/>
        <v>Reshape+TRL</v>
      </c>
      <c r="N57" s="2" t="str">
        <f>"trl:: (4,1,1,10,1,1,4)"</f>
        <v>trl:: (4,1,1,10,1,1,4)</v>
      </c>
      <c r="O57" s="2" t="str">
        <f xml:space="preserve"> "(16,2,2)-type2"</f>
        <v>(16,2,2)-type2</v>
      </c>
      <c r="P57" s="2" t="str">
        <f>"(2048,6,6) --&gt; (16,2,2,128,3,3) --&gt; (10)"</f>
        <v>(2048,6,6) --&gt; (16,2,2,128,3,3) --&gt; (10)</v>
      </c>
      <c r="Q57" s="10">
        <f>1386</f>
        <v>1386</v>
      </c>
      <c r="R57" s="10">
        <f t="shared" si="18"/>
        <v>42501546</v>
      </c>
      <c r="S57" s="2">
        <f xml:space="preserve"> (1-(Q57/Q46))*100</f>
        <v>99.812014268469667</v>
      </c>
      <c r="T57" s="2" t="s">
        <v>13</v>
      </c>
      <c r="U57" s="2" t="s">
        <v>12</v>
      </c>
      <c r="V57" s="2" t="s">
        <v>15</v>
      </c>
      <c r="W57" s="2" t="s">
        <v>17</v>
      </c>
      <c r="X57" s="2">
        <v>0.98568332199999997</v>
      </c>
      <c r="Y57" s="2">
        <v>0.99919998600000004</v>
      </c>
      <c r="Z57" s="2">
        <v>0.98059999900000006</v>
      </c>
      <c r="AA57" s="2">
        <v>0.998999953</v>
      </c>
    </row>
    <row r="58" spans="6:27" ht="22.2" thickTop="1" thickBot="1" x14ac:dyDescent="0.45">
      <c r="F58" s="7"/>
      <c r="G58" s="17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spans="6:27" ht="22.2" thickTop="1" thickBot="1" x14ac:dyDescent="0.45">
      <c r="F59" s="15"/>
      <c r="G59" s="20">
        <v>1</v>
      </c>
      <c r="H59" s="5" t="s">
        <v>75</v>
      </c>
      <c r="I59" s="2" t="str">
        <f t="shared" ref="I59:I70" si="20" xml:space="preserve"> "Resnet101"</f>
        <v>Resnet101</v>
      </c>
      <c r="J59" s="2" t="str">
        <f t="shared" ref="J59:J70" si="21" xml:space="preserve"> "CIFAR10"</f>
        <v>CIFAR10</v>
      </c>
      <c r="K59" s="2" t="str">
        <f t="shared" ref="K59:K70" si="22" xml:space="preserve"> "(3,192,192)"</f>
        <v>(3,192,192)</v>
      </c>
      <c r="L59" s="2">
        <v>10</v>
      </c>
      <c r="M59" s="2" t="str">
        <f xml:space="preserve"> "Linear"</f>
        <v>Linear</v>
      </c>
      <c r="N59" s="2" t="s">
        <v>9</v>
      </c>
      <c r="O59" s="2" t="b">
        <f xml:space="preserve"> FALSE</f>
        <v>0</v>
      </c>
      <c r="P59" s="2" t="str">
        <f>"(2048,6,6) --&gt; (10)"</f>
        <v>(2048,6,6) --&gt; (10)</v>
      </c>
      <c r="Q59" s="10">
        <f xml:space="preserve"> 737290</f>
        <v>737290</v>
      </c>
      <c r="R59" s="10">
        <f>43237450</f>
        <v>43237450</v>
      </c>
      <c r="S59" s="2" t="s">
        <v>18</v>
      </c>
      <c r="T59" s="2" t="s">
        <v>13</v>
      </c>
      <c r="U59" s="2" t="s">
        <v>12</v>
      </c>
      <c r="V59" s="2" t="s">
        <v>15</v>
      </c>
      <c r="W59" s="2" t="s">
        <v>17</v>
      </c>
      <c r="X59" s="2">
        <v>0.93485999099999995</v>
      </c>
      <c r="Y59" s="2">
        <v>0.99807995599999999</v>
      </c>
      <c r="Z59" s="2">
        <v>0.92679995299999995</v>
      </c>
      <c r="AA59" s="2">
        <v>0.99719995299999997</v>
      </c>
    </row>
    <row r="60" spans="6:27" ht="22.2" thickTop="1" thickBot="1" x14ac:dyDescent="0.45">
      <c r="F60" s="15"/>
      <c r="G60" s="20">
        <v>1</v>
      </c>
      <c r="H60" s="5" t="s">
        <v>76</v>
      </c>
      <c r="I60" s="2" t="str">
        <f t="shared" si="20"/>
        <v>Resnet101</v>
      </c>
      <c r="J60" s="2" t="str">
        <f t="shared" si="21"/>
        <v>CIFAR10</v>
      </c>
      <c r="K60" s="2" t="str">
        <f t="shared" si="22"/>
        <v>(3,192,192)</v>
      </c>
      <c r="L60" s="2">
        <v>10</v>
      </c>
      <c r="M60" s="2" t="str">
        <f xml:space="preserve"> "TRL"</f>
        <v>TRL</v>
      </c>
      <c r="N60" s="2" t="str">
        <f>"trl:: (200,3,3,8)"</f>
        <v>trl:: (200,3,3,8)</v>
      </c>
      <c r="O60" s="2" t="b">
        <f xml:space="preserve"> FALSE</f>
        <v>0</v>
      </c>
      <c r="P60" s="2" t="str">
        <f>"(2048,6,6) --&gt; (10)"</f>
        <v>(2048,6,6) --&gt; (10)</v>
      </c>
      <c r="Q60" s="10">
        <f>424116</f>
        <v>424116</v>
      </c>
      <c r="R60" s="10">
        <f t="shared" ref="R60:R70" si="23" xml:space="preserve"> R59 - Q59 + Q60</f>
        <v>42924276</v>
      </c>
      <c r="S60" s="2">
        <f xml:space="preserve"> (1-(Q60/Q59))*100</f>
        <v>42.476366151717784</v>
      </c>
      <c r="T60" s="2" t="s">
        <v>13</v>
      </c>
      <c r="U60" s="2" t="s">
        <v>12</v>
      </c>
      <c r="V60" s="2" t="s">
        <v>15</v>
      </c>
      <c r="W60" s="2" t="s">
        <v>17</v>
      </c>
      <c r="X60" s="2">
        <v>0.93895995600000004</v>
      </c>
      <c r="Y60" s="2">
        <v>0.99901998000000003</v>
      </c>
      <c r="Z60" s="2">
        <v>0.91969996700000001</v>
      </c>
      <c r="AA60" s="2">
        <v>0.99789994999999998</v>
      </c>
    </row>
    <row r="61" spans="6:27" ht="22.2" thickTop="1" thickBot="1" x14ac:dyDescent="0.45">
      <c r="F61" s="15"/>
      <c r="G61" s="20">
        <v>1</v>
      </c>
      <c r="H61" s="5" t="s">
        <v>77</v>
      </c>
      <c r="I61" s="2" t="str">
        <f t="shared" si="20"/>
        <v>Resnet101</v>
      </c>
      <c r="J61" s="2" t="str">
        <f t="shared" si="21"/>
        <v>CIFAR10</v>
      </c>
      <c r="K61" s="2" t="str">
        <f t="shared" si="22"/>
        <v>(3,192,192)</v>
      </c>
      <c r="L61" s="2">
        <v>10</v>
      </c>
      <c r="M61" s="2" t="str">
        <f xml:space="preserve"> "TRL"</f>
        <v>TRL</v>
      </c>
      <c r="N61" s="2" t="str">
        <f>"trl:: (100,3,3,10)"</f>
        <v>trl:: (100,3,3,10)</v>
      </c>
      <c r="O61" s="2" t="b">
        <f xml:space="preserve"> FALSE</f>
        <v>0</v>
      </c>
      <c r="P61" s="2" t="str">
        <f>"(2048,6,6) --&gt; (10)"</f>
        <v>(2048,6,6) --&gt; (10)</v>
      </c>
      <c r="Q61" s="10">
        <f>213936</f>
        <v>213936</v>
      </c>
      <c r="R61" s="10">
        <f t="shared" si="23"/>
        <v>42714096</v>
      </c>
      <c r="S61" s="2">
        <f xml:space="preserve"> (1-(Q61/Q59))*100</f>
        <v>70.983466478590501</v>
      </c>
      <c r="T61" s="2" t="s">
        <v>13</v>
      </c>
      <c r="U61" s="2" t="s">
        <v>12</v>
      </c>
      <c r="V61" s="2" t="s">
        <v>15</v>
      </c>
      <c r="W61" s="2" t="s">
        <v>17</v>
      </c>
      <c r="X61" s="2">
        <v>0.93955999599999995</v>
      </c>
      <c r="Y61" s="2">
        <v>0.99913996500000002</v>
      </c>
      <c r="Z61" s="2">
        <v>0.906699955</v>
      </c>
      <c r="AA61" s="2">
        <v>0.99839997300000005</v>
      </c>
    </row>
    <row r="62" spans="6:27" ht="22.2" thickTop="1" thickBot="1" x14ac:dyDescent="0.45">
      <c r="F62" s="15"/>
      <c r="G62" s="20">
        <v>1</v>
      </c>
      <c r="H62" s="5" t="s">
        <v>78</v>
      </c>
      <c r="I62" s="2" t="str">
        <f t="shared" si="20"/>
        <v>Resnet101</v>
      </c>
      <c r="J62" s="2" t="str">
        <f t="shared" si="21"/>
        <v>CIFAR10</v>
      </c>
      <c r="K62" s="2" t="str">
        <f t="shared" si="22"/>
        <v>(3,192,192)</v>
      </c>
      <c r="L62" s="2">
        <v>10</v>
      </c>
      <c r="M62" s="2" t="str">
        <f xml:space="preserve"> "TRL"</f>
        <v>TRL</v>
      </c>
      <c r="N62" s="2" t="str">
        <f>"trl:: (50,3,3,3)"</f>
        <v>trl:: (50,3,3,3)</v>
      </c>
      <c r="O62" s="2" t="b">
        <f xml:space="preserve"> FALSE</f>
        <v>0</v>
      </c>
      <c r="P62" s="2" t="str">
        <f>"(2048,6,6) --&gt; (10)"</f>
        <v>(2048,6,6) --&gt; (10)</v>
      </c>
      <c r="Q62" s="10">
        <f>103816</f>
        <v>103816</v>
      </c>
      <c r="R62" s="10">
        <f t="shared" si="23"/>
        <v>42603976</v>
      </c>
      <c r="S62" s="2">
        <f xml:space="preserve"> (1-(Q62/Q59))*100</f>
        <v>85.919244801909699</v>
      </c>
      <c r="T62" s="2" t="s">
        <v>13</v>
      </c>
      <c r="U62" s="2" t="s">
        <v>12</v>
      </c>
      <c r="V62" s="2" t="s">
        <v>15</v>
      </c>
      <c r="W62" s="2" t="s">
        <v>17</v>
      </c>
      <c r="X62" s="2">
        <v>0.91203999499999999</v>
      </c>
      <c r="Y62" s="2">
        <v>0.99259996399999995</v>
      </c>
      <c r="Z62" s="2">
        <v>0.90309995399999998</v>
      </c>
      <c r="AA62" s="2">
        <v>0.991999984</v>
      </c>
    </row>
    <row r="63" spans="6:27" ht="22.2" thickTop="1" thickBot="1" x14ac:dyDescent="0.45">
      <c r="F63" s="15"/>
      <c r="G63" s="20">
        <v>1</v>
      </c>
      <c r="H63" s="5" t="s">
        <v>79</v>
      </c>
      <c r="I63" s="2" t="str">
        <f t="shared" si="20"/>
        <v>Resnet101</v>
      </c>
      <c r="J63" s="2" t="str">
        <f t="shared" si="21"/>
        <v>CIFAR10</v>
      </c>
      <c r="K63" s="2" t="str">
        <f t="shared" si="22"/>
        <v>(3,192,192)</v>
      </c>
      <c r="L63" s="2">
        <v>10</v>
      </c>
      <c r="M63" s="2" t="str">
        <f t="shared" ref="M63:M70" si="24">"Reshape+TRL"</f>
        <v>Reshape+TRL</v>
      </c>
      <c r="N63" s="2" t="str">
        <f>"trl:: (1,1,1,100,1,1,10)"</f>
        <v>trl:: (1,1,1,100,1,1,10)</v>
      </c>
      <c r="O63" s="2" t="str">
        <f xml:space="preserve"> "(2,2,2)-type1"</f>
        <v>(2,2,2)-type1</v>
      </c>
      <c r="P63" s="2" t="str">
        <f>"(2048,6,6) --&gt; (2,2,2,1024,3,3) --&gt; (10)"</f>
        <v>(2048,6,6) --&gt; (2,2,2,1024,3,3) --&gt; (10)</v>
      </c>
      <c r="Q63" s="10">
        <f>103512</f>
        <v>103512</v>
      </c>
      <c r="R63" s="10">
        <f t="shared" si="23"/>
        <v>42603672</v>
      </c>
      <c r="S63" s="2">
        <f xml:space="preserve"> (1-(Q63/Q59))*100</f>
        <v>85.960476881552722</v>
      </c>
      <c r="T63" s="2" t="s">
        <v>13</v>
      </c>
      <c r="U63" s="2" t="s">
        <v>12</v>
      </c>
      <c r="V63" s="2" t="s">
        <v>15</v>
      </c>
      <c r="W63" s="2" t="s">
        <v>17</v>
      </c>
      <c r="X63" s="2">
        <v>0.94035994999999994</v>
      </c>
      <c r="Y63" s="2">
        <v>0.99941998700000001</v>
      </c>
      <c r="Z63" s="2">
        <v>0.92189997400000001</v>
      </c>
      <c r="AA63" s="2">
        <v>0.99799996599999996</v>
      </c>
    </row>
    <row r="64" spans="6:27" ht="22.2" thickTop="1" thickBot="1" x14ac:dyDescent="0.45">
      <c r="F64" s="15"/>
      <c r="G64" s="20">
        <v>1</v>
      </c>
      <c r="H64" s="5" t="s">
        <v>80</v>
      </c>
      <c r="I64" s="7" t="str">
        <f t="shared" si="20"/>
        <v>Resnet101</v>
      </c>
      <c r="J64" s="7" t="str">
        <f t="shared" si="21"/>
        <v>CIFAR10</v>
      </c>
      <c r="K64" s="7" t="str">
        <f t="shared" si="22"/>
        <v>(3,192,192)</v>
      </c>
      <c r="L64" s="7">
        <v>10</v>
      </c>
      <c r="M64" s="7" t="str">
        <f t="shared" si="24"/>
        <v>Reshape+TRL</v>
      </c>
      <c r="N64" s="7" t="str">
        <f>"trl:: (1,1,1,100,1,1,10)"</f>
        <v>trl:: (1,1,1,100,1,1,10)</v>
      </c>
      <c r="O64" s="7" t="str">
        <f xml:space="preserve"> "(2,2,2)-type2"</f>
        <v>(2,2,2)-type2</v>
      </c>
      <c r="P64" s="7" t="str">
        <f>"(2048,6,6) --&gt; (2,2,2,1024,3,3) --&gt; (10)"</f>
        <v>(2048,6,6) --&gt; (2,2,2,1024,3,3) --&gt; (10)</v>
      </c>
      <c r="Q64" s="18">
        <f>103512</f>
        <v>103512</v>
      </c>
      <c r="R64" s="18">
        <f t="shared" si="23"/>
        <v>42603672</v>
      </c>
      <c r="S64" s="7">
        <f xml:space="preserve"> (1-(Q64/Q59))*100</f>
        <v>85.960476881552722</v>
      </c>
      <c r="T64" s="7" t="s">
        <v>13</v>
      </c>
      <c r="U64" s="7" t="s">
        <v>12</v>
      </c>
      <c r="V64" s="7" t="s">
        <v>15</v>
      </c>
      <c r="W64" s="7" t="s">
        <v>17</v>
      </c>
      <c r="X64" s="2">
        <v>0.94117999100000005</v>
      </c>
      <c r="Y64" s="2">
        <v>0.99909996999999995</v>
      </c>
      <c r="Z64" s="2">
        <v>0.91859996300000002</v>
      </c>
      <c r="AA64" s="2">
        <v>0.99889999600000001</v>
      </c>
    </row>
    <row r="65" spans="6:27" ht="22.2" thickTop="1" thickBot="1" x14ac:dyDescent="0.45">
      <c r="F65" s="15"/>
      <c r="G65" s="20">
        <v>1</v>
      </c>
      <c r="H65" s="5" t="s">
        <v>81</v>
      </c>
      <c r="I65" s="2" t="str">
        <f t="shared" si="20"/>
        <v>Resnet101</v>
      </c>
      <c r="J65" s="2" t="str">
        <f t="shared" si="21"/>
        <v>CIFAR10</v>
      </c>
      <c r="K65" s="2" t="str">
        <f t="shared" si="22"/>
        <v>(3,192,192)</v>
      </c>
      <c r="L65" s="2">
        <v>10</v>
      </c>
      <c r="M65" s="2" t="str">
        <f t="shared" si="24"/>
        <v>Reshape+TRL</v>
      </c>
      <c r="N65" s="2" t="str">
        <f>"trl:: (1,1,1,20,1,1,4)"</f>
        <v>trl:: (1,1,1,20,1,1,4)</v>
      </c>
      <c r="O65" s="2" t="str">
        <f xml:space="preserve"> "(2,2,2)-type1"</f>
        <v>(2,2,2)-type1</v>
      </c>
      <c r="P65" s="2" t="str">
        <f>"(2048,6,6) --&gt; (2,2,2,1024,3,3) --&gt; (10)"</f>
        <v>(2048,6,6) --&gt; (2,2,2,1024,3,3) --&gt; (10)</v>
      </c>
      <c r="Q65" s="10">
        <f>20612</f>
        <v>20612</v>
      </c>
      <c r="R65" s="10">
        <f t="shared" si="23"/>
        <v>42520772</v>
      </c>
      <c r="S65" s="2">
        <f xml:space="preserve"> (1-(Q65/Q59))*100</f>
        <v>97.204356494730703</v>
      </c>
      <c r="T65" s="2" t="s">
        <v>13</v>
      </c>
      <c r="U65" s="2" t="s">
        <v>12</v>
      </c>
      <c r="V65" s="2" t="s">
        <v>15</v>
      </c>
      <c r="W65" s="2" t="s">
        <v>17</v>
      </c>
      <c r="X65" s="2">
        <v>0.92931997799999999</v>
      </c>
      <c r="Y65" s="2">
        <v>0.99706000100000003</v>
      </c>
      <c r="Z65" s="2">
        <v>0.92079997099999999</v>
      </c>
      <c r="AA65" s="2">
        <v>0.99619996499999997</v>
      </c>
    </row>
    <row r="66" spans="6:27" ht="22.2" thickTop="1" thickBot="1" x14ac:dyDescent="0.45">
      <c r="F66" s="15"/>
      <c r="G66" s="20">
        <v>1</v>
      </c>
      <c r="H66" s="5" t="s">
        <v>82</v>
      </c>
      <c r="I66" s="2" t="str">
        <f t="shared" si="20"/>
        <v>Resnet101</v>
      </c>
      <c r="J66" s="2" t="str">
        <f t="shared" si="21"/>
        <v>CIFAR10</v>
      </c>
      <c r="K66" s="2" t="str">
        <f t="shared" si="22"/>
        <v>(3,192,192)</v>
      </c>
      <c r="L66" s="2">
        <v>10</v>
      </c>
      <c r="M66" s="2" t="str">
        <f t="shared" si="24"/>
        <v>Reshape+TRL</v>
      </c>
      <c r="N66" s="2" t="str">
        <f>"trl:: (1,1,1,20,1,1,4)"</f>
        <v>trl:: (1,1,1,20,1,1,4)</v>
      </c>
      <c r="O66" s="2" t="str">
        <f xml:space="preserve"> "(2,2,2)-type2"</f>
        <v>(2,2,2)-type2</v>
      </c>
      <c r="P66" s="2" t="str">
        <f>"(2048,6,6) --&gt; (2,2,2,1024,3,3) --&gt; (10)"</f>
        <v>(2048,6,6) --&gt; (2,2,2,1024,3,3) --&gt; (10)</v>
      </c>
      <c r="Q66" s="10">
        <f>20612</f>
        <v>20612</v>
      </c>
      <c r="R66" s="10">
        <f t="shared" si="23"/>
        <v>42520772</v>
      </c>
      <c r="S66" s="2">
        <f xml:space="preserve"> (1-(Q66/Q59))*100</f>
        <v>97.204356494730703</v>
      </c>
      <c r="T66" s="2" t="s">
        <v>13</v>
      </c>
      <c r="U66" s="2" t="s">
        <v>12</v>
      </c>
      <c r="V66" s="2" t="s">
        <v>15</v>
      </c>
      <c r="W66" s="2" t="s">
        <v>17</v>
      </c>
      <c r="X66" s="2">
        <v>0.927519977</v>
      </c>
      <c r="Y66" s="2">
        <v>0.99609994899999998</v>
      </c>
      <c r="Z66" s="2">
        <v>0.90289998100000002</v>
      </c>
      <c r="AA66" s="2">
        <v>0.99299997100000004</v>
      </c>
    </row>
    <row r="67" spans="6:27" ht="22.2" thickTop="1" thickBot="1" x14ac:dyDescent="0.45">
      <c r="F67" s="15"/>
      <c r="G67" s="20">
        <v>1</v>
      </c>
      <c r="H67" s="5" t="s">
        <v>83</v>
      </c>
      <c r="I67" s="2" t="str">
        <f t="shared" si="20"/>
        <v>Resnet101</v>
      </c>
      <c r="J67" s="2" t="str">
        <f t="shared" si="21"/>
        <v>CIFAR10</v>
      </c>
      <c r="K67" s="2" t="str">
        <f t="shared" si="22"/>
        <v>(3,192,192)</v>
      </c>
      <c r="L67" s="2">
        <v>10</v>
      </c>
      <c r="M67" s="2" t="str">
        <f t="shared" si="24"/>
        <v>Reshape+TRL</v>
      </c>
      <c r="N67" s="2" t="str">
        <f>"trl:: (4,1,1,20,1,1,10)"</f>
        <v>trl:: (4,1,1,20,1,1,10)</v>
      </c>
      <c r="O67" s="2" t="str">
        <f xml:space="preserve"> "(16,2,2)-type1"</f>
        <v>(16,2,2)-type1</v>
      </c>
      <c r="P67" s="2" t="str">
        <f>"(2048,6,6) --&gt; (16,2,2,128,3,3) --&gt; (10)"</f>
        <v>(2048,6,6) --&gt; (16,2,2,128,3,3) --&gt; (10)</v>
      </c>
      <c r="Q67" s="10">
        <f>3534</f>
        <v>3534</v>
      </c>
      <c r="R67" s="10">
        <f t="shared" si="23"/>
        <v>42503694</v>
      </c>
      <c r="S67" s="2">
        <f xml:space="preserve"> (1-(Q67/Q59))*100</f>
        <v>99.52067707414993</v>
      </c>
      <c r="T67" s="2" t="s">
        <v>13</v>
      </c>
      <c r="U67" s="2" t="s">
        <v>12</v>
      </c>
      <c r="V67" s="2" t="s">
        <v>15</v>
      </c>
      <c r="W67" s="2" t="s">
        <v>17</v>
      </c>
      <c r="X67" s="2">
        <v>0.94079995199999999</v>
      </c>
      <c r="Y67" s="2">
        <v>0.99935996500000002</v>
      </c>
      <c r="Z67" s="2">
        <v>0.90340000399999998</v>
      </c>
      <c r="AA67" s="2">
        <v>0.99789994999999998</v>
      </c>
    </row>
    <row r="68" spans="6:27" ht="22.2" thickTop="1" thickBot="1" x14ac:dyDescent="0.45">
      <c r="F68" s="15"/>
      <c r="G68" s="20">
        <v>1</v>
      </c>
      <c r="H68" s="5" t="s">
        <v>84</v>
      </c>
      <c r="I68" s="2" t="str">
        <f t="shared" si="20"/>
        <v>Resnet101</v>
      </c>
      <c r="J68" s="2" t="str">
        <f t="shared" si="21"/>
        <v>CIFAR10</v>
      </c>
      <c r="K68" s="2" t="str">
        <f t="shared" si="22"/>
        <v>(3,192,192)</v>
      </c>
      <c r="L68" s="2">
        <v>10</v>
      </c>
      <c r="M68" s="2" t="str">
        <f t="shared" si="24"/>
        <v>Reshape+TRL</v>
      </c>
      <c r="N68" s="2" t="str">
        <f>"trl:: (4,1,1,20,1,1,10)"</f>
        <v>trl:: (4,1,1,20,1,1,10)</v>
      </c>
      <c r="O68" s="2" t="str">
        <f xml:space="preserve"> "(16,2,2)-type2"</f>
        <v>(16,2,2)-type2</v>
      </c>
      <c r="P68" s="2" t="str">
        <f>"(2048,6,6) --&gt; (16,2,2,128,3,3) --&gt; (10)"</f>
        <v>(2048,6,6) --&gt; (16,2,2,128,3,3) --&gt; (10)</v>
      </c>
      <c r="Q68" s="10">
        <f>3534</f>
        <v>3534</v>
      </c>
      <c r="R68" s="10">
        <f t="shared" si="23"/>
        <v>42503694</v>
      </c>
      <c r="S68" s="2">
        <f xml:space="preserve"> (1-(Q68/Q59))*100</f>
        <v>99.52067707414993</v>
      </c>
      <c r="T68" s="2" t="s">
        <v>13</v>
      </c>
      <c r="U68" s="2" t="s">
        <v>12</v>
      </c>
      <c r="V68" s="2" t="s">
        <v>15</v>
      </c>
      <c r="W68" s="2" t="s">
        <v>17</v>
      </c>
      <c r="X68" s="2">
        <v>0.94233995699999995</v>
      </c>
      <c r="Y68" s="2">
        <v>0.99945998199999997</v>
      </c>
      <c r="Z68" s="2">
        <v>0.921499968</v>
      </c>
      <c r="AA68" s="2">
        <v>0.99879998000000003</v>
      </c>
    </row>
    <row r="69" spans="6:27" ht="22.2" thickTop="1" thickBot="1" x14ac:dyDescent="0.45">
      <c r="F69" s="15"/>
      <c r="G69" s="20">
        <v>1</v>
      </c>
      <c r="H69" s="5" t="s">
        <v>85</v>
      </c>
      <c r="I69" s="2" t="str">
        <f t="shared" si="20"/>
        <v>Resnet101</v>
      </c>
      <c r="J69" s="2" t="str">
        <f t="shared" si="21"/>
        <v>CIFAR10</v>
      </c>
      <c r="K69" s="2" t="str">
        <f t="shared" si="22"/>
        <v>(3,192,192)</v>
      </c>
      <c r="L69" s="2">
        <v>10</v>
      </c>
      <c r="M69" s="2" t="str">
        <f t="shared" si="24"/>
        <v>Reshape+TRL</v>
      </c>
      <c r="N69" s="2" t="str">
        <f>"trl:: (4,1,1,10,1,1,4)"</f>
        <v>trl:: (4,1,1,10,1,1,4)</v>
      </c>
      <c r="O69" s="2" t="str">
        <f xml:space="preserve"> "(16,2,2)-type1"</f>
        <v>(16,2,2)-type1</v>
      </c>
      <c r="P69" s="2" t="str">
        <f>"(2048,6,6) --&gt; (16,2,2,128,3,3) --&gt; (10)"</f>
        <v>(2048,6,6) --&gt; (16,2,2,128,3,3) --&gt; (10)</v>
      </c>
      <c r="Q69" s="10">
        <f>1386</f>
        <v>1386</v>
      </c>
      <c r="R69" s="10">
        <f t="shared" si="23"/>
        <v>42501546</v>
      </c>
      <c r="S69" s="2">
        <f xml:space="preserve"> (1-(Q69/Q59))*100</f>
        <v>99.812014268469667</v>
      </c>
      <c r="T69" s="2" t="s">
        <v>13</v>
      </c>
      <c r="U69" s="2" t="s">
        <v>12</v>
      </c>
      <c r="V69" s="2" t="s">
        <v>15</v>
      </c>
      <c r="W69" s="2" t="s">
        <v>17</v>
      </c>
      <c r="X69" s="2">
        <v>0.92725998200000004</v>
      </c>
      <c r="Y69" s="2">
        <v>0.99673998399999997</v>
      </c>
      <c r="Z69" s="2">
        <v>0.92439997200000001</v>
      </c>
      <c r="AA69" s="2">
        <v>0.99649995599999996</v>
      </c>
    </row>
    <row r="70" spans="6:27" ht="22.2" thickTop="1" thickBot="1" x14ac:dyDescent="0.45">
      <c r="F70" s="15"/>
      <c r="G70" s="20">
        <v>1</v>
      </c>
      <c r="H70" s="5" t="s">
        <v>86</v>
      </c>
      <c r="I70" s="7" t="str">
        <f t="shared" si="20"/>
        <v>Resnet101</v>
      </c>
      <c r="J70" s="7" t="str">
        <f t="shared" si="21"/>
        <v>CIFAR10</v>
      </c>
      <c r="K70" s="7" t="str">
        <f t="shared" si="22"/>
        <v>(3,192,192)</v>
      </c>
      <c r="L70" s="7">
        <v>10</v>
      </c>
      <c r="M70" s="7" t="str">
        <f t="shared" si="24"/>
        <v>Reshape+TRL</v>
      </c>
      <c r="N70" s="7" t="str">
        <f>"trl:: (4,1,1,10,1,1,4)"</f>
        <v>trl:: (4,1,1,10,1,1,4)</v>
      </c>
      <c r="O70" s="7" t="str">
        <f xml:space="preserve"> "(16,2,2)-type2"</f>
        <v>(16,2,2)-type2</v>
      </c>
      <c r="P70" s="7" t="str">
        <f>"(2048,6,6) --&gt; (16,2,2,128,3,3) --&gt; (10)"</f>
        <v>(2048,6,6) --&gt; (16,2,2,128,3,3) --&gt; (10)</v>
      </c>
      <c r="Q70" s="18">
        <f>1386</f>
        <v>1386</v>
      </c>
      <c r="R70" s="18">
        <f t="shared" si="23"/>
        <v>42501546</v>
      </c>
      <c r="S70" s="7">
        <f xml:space="preserve"> (1-(Q70/Q59))*100</f>
        <v>99.812014268469667</v>
      </c>
      <c r="T70" s="7" t="s">
        <v>13</v>
      </c>
      <c r="U70" s="7" t="s">
        <v>12</v>
      </c>
      <c r="V70" s="7" t="s">
        <v>15</v>
      </c>
      <c r="W70" s="7" t="s">
        <v>17</v>
      </c>
      <c r="X70" s="2">
        <v>0.92917996599999997</v>
      </c>
      <c r="Y70" s="2">
        <v>0.99647998800000004</v>
      </c>
      <c r="Z70" s="2">
        <v>0.89969998600000001</v>
      </c>
      <c r="AA70" s="2">
        <v>0.99269998100000001</v>
      </c>
    </row>
    <row r="71" spans="6:27" ht="22.2" thickTop="1" thickBot="1" x14ac:dyDescent="0.45">
      <c r="F71" s="7"/>
      <c r="G71" s="17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spans="6:27" ht="22.2" thickTop="1" thickBot="1" x14ac:dyDescent="0.45">
      <c r="F72" s="15"/>
      <c r="G72" s="20">
        <v>1</v>
      </c>
      <c r="H72" s="5" t="s">
        <v>87</v>
      </c>
      <c r="I72" s="2" t="str">
        <f t="shared" ref="I72:I83" si="25" xml:space="preserve"> "Resnet101"</f>
        <v>Resnet101</v>
      </c>
      <c r="J72" s="2" t="str">
        <f t="shared" ref="J72:J83" si="26" xml:space="preserve"> "TINY"</f>
        <v>TINY</v>
      </c>
      <c r="K72" s="2" t="str">
        <f t="shared" ref="K72:K83" si="27" xml:space="preserve"> "(3,192,192)"</f>
        <v>(3,192,192)</v>
      </c>
      <c r="L72" s="2">
        <v>200</v>
      </c>
      <c r="M72" s="2" t="str">
        <f xml:space="preserve"> "Linear"</f>
        <v>Linear</v>
      </c>
      <c r="N72" s="2" t="s">
        <v>9</v>
      </c>
      <c r="O72" s="2" t="b">
        <f xml:space="preserve"> FALSE</f>
        <v>0</v>
      </c>
      <c r="P72" s="2" t="str">
        <f>"(2048,6,6) --&gt; (200)"</f>
        <v>(2048,6,6) --&gt; (200)</v>
      </c>
      <c r="Q72" s="10">
        <f>14745800</f>
        <v>14745800</v>
      </c>
      <c r="R72" s="10">
        <f>57245960</f>
        <v>57245960</v>
      </c>
      <c r="S72" s="2" t="s">
        <v>18</v>
      </c>
      <c r="T72" s="2" t="s">
        <v>13</v>
      </c>
      <c r="U72" s="2" t="s">
        <v>12</v>
      </c>
      <c r="V72" s="2" t="s">
        <v>15</v>
      </c>
      <c r="W72" s="2" t="s">
        <v>17</v>
      </c>
      <c r="X72" s="2">
        <v>0.913029969</v>
      </c>
      <c r="Y72" s="2">
        <v>0.98892998700000001</v>
      </c>
      <c r="Z72" s="2">
        <v>0.79819995200000005</v>
      </c>
      <c r="AA72" s="2">
        <v>0.92280000399999995</v>
      </c>
    </row>
    <row r="73" spans="6:27" ht="22.2" thickTop="1" thickBot="1" x14ac:dyDescent="0.45">
      <c r="F73" s="15"/>
      <c r="G73" s="20">
        <v>1</v>
      </c>
      <c r="H73" s="5" t="s">
        <v>88</v>
      </c>
      <c r="I73" s="2" t="str">
        <f t="shared" si="25"/>
        <v>Resnet101</v>
      </c>
      <c r="J73" s="2" t="str">
        <f t="shared" si="26"/>
        <v>TINY</v>
      </c>
      <c r="K73" s="2" t="str">
        <f t="shared" si="27"/>
        <v>(3,192,192)</v>
      </c>
      <c r="L73" s="2">
        <v>200</v>
      </c>
      <c r="M73" s="2" t="str">
        <f xml:space="preserve"> "TRL"</f>
        <v>TRL</v>
      </c>
      <c r="N73" s="2" t="str">
        <f>"trl:: (1024,3,3,200)"</f>
        <v>trl:: (1024,3,3,200)</v>
      </c>
      <c r="O73" s="2" t="b">
        <f xml:space="preserve"> FALSE</f>
        <v>0</v>
      </c>
      <c r="P73" s="2" t="str">
        <f>"(2048,6,6) --&gt; (200)"</f>
        <v>(2048,6,6) --&gt; (200)</v>
      </c>
      <c r="Q73" s="10">
        <f>3980388</f>
        <v>3980388</v>
      </c>
      <c r="R73" s="10">
        <f t="shared" ref="R73:R83" si="28" xml:space="preserve"> R72 - Q72 + Q73</f>
        <v>46480548</v>
      </c>
      <c r="S73" s="2">
        <f xml:space="preserve"> (1-(Q73/Q72))*100</f>
        <v>73.006632397021519</v>
      </c>
      <c r="T73" s="2" t="s">
        <v>13</v>
      </c>
      <c r="U73" s="2" t="s">
        <v>12</v>
      </c>
      <c r="V73" s="2" t="s">
        <v>15</v>
      </c>
      <c r="W73" s="2" t="s">
        <v>17</v>
      </c>
      <c r="X73" s="2">
        <v>0.97539997099999998</v>
      </c>
      <c r="Y73" s="2">
        <v>0.99919998600000004</v>
      </c>
      <c r="Z73" s="2">
        <v>0.84109997700000005</v>
      </c>
      <c r="AA73" s="2">
        <v>0.94559997299999998</v>
      </c>
    </row>
    <row r="74" spans="6:27" ht="22.2" thickTop="1" thickBot="1" x14ac:dyDescent="0.45">
      <c r="F74" s="15"/>
      <c r="G74" s="20">
        <v>1</v>
      </c>
      <c r="H74" s="5" t="s">
        <v>89</v>
      </c>
      <c r="I74" s="2" t="str">
        <f t="shared" si="25"/>
        <v>Resnet101</v>
      </c>
      <c r="J74" s="2" t="str">
        <f t="shared" si="26"/>
        <v>TINY</v>
      </c>
      <c r="K74" s="2" t="str">
        <f t="shared" si="27"/>
        <v>(3,192,192)</v>
      </c>
      <c r="L74" s="2">
        <v>200</v>
      </c>
      <c r="M74" s="2" t="str">
        <f xml:space="preserve"> "TRL"</f>
        <v>TRL</v>
      </c>
      <c r="N74" s="2" t="str">
        <f>"trl:: (600,3,3,200)"</f>
        <v>trl:: (600,3,3,200)</v>
      </c>
      <c r="O74" s="2" t="b">
        <f xml:space="preserve"> FALSE</f>
        <v>0</v>
      </c>
      <c r="P74" s="2" t="str">
        <f>"(2048,6,6) --&gt; (200)"</f>
        <v>(2048,6,6) --&gt; (200)</v>
      </c>
      <c r="Q74" s="10">
        <f>2348836</f>
        <v>2348836</v>
      </c>
      <c r="R74" s="10">
        <f t="shared" si="28"/>
        <v>44848996</v>
      </c>
      <c r="S74" s="2">
        <f xml:space="preserve"> (1-(Q74/Q72))*100</f>
        <v>84.071152463752384</v>
      </c>
      <c r="T74" s="2" t="s">
        <v>13</v>
      </c>
      <c r="U74" s="2" t="s">
        <v>12</v>
      </c>
      <c r="V74" s="2" t="s">
        <v>15</v>
      </c>
      <c r="W74" s="2" t="s">
        <v>17</v>
      </c>
      <c r="X74" s="2">
        <v>0.97393995499999997</v>
      </c>
      <c r="Y74" s="2">
        <v>0.99919998600000004</v>
      </c>
      <c r="Z74" s="2">
        <v>0.84200000799999997</v>
      </c>
      <c r="AA74" s="2">
        <v>0.94989997100000001</v>
      </c>
    </row>
    <row r="75" spans="6:27" ht="22.2" thickTop="1" thickBot="1" x14ac:dyDescent="0.45">
      <c r="F75" s="15"/>
      <c r="G75" s="20">
        <v>1</v>
      </c>
      <c r="H75" s="5" t="s">
        <v>90</v>
      </c>
      <c r="I75" s="2" t="str">
        <f t="shared" si="25"/>
        <v>Resnet101</v>
      </c>
      <c r="J75" s="2" t="str">
        <f t="shared" si="26"/>
        <v>TINY</v>
      </c>
      <c r="K75" s="2" t="str">
        <f t="shared" si="27"/>
        <v>(3,192,192)</v>
      </c>
      <c r="L75" s="2">
        <v>200</v>
      </c>
      <c r="M75" s="2" t="str">
        <f xml:space="preserve"> "TRL"</f>
        <v>TRL</v>
      </c>
      <c r="N75" s="2" t="str">
        <f>"trl:: (500,3,3,150)"</f>
        <v>trl:: (500,3,3,150)</v>
      </c>
      <c r="O75" s="2" t="b">
        <f xml:space="preserve"> FALSE</f>
        <v>0</v>
      </c>
      <c r="P75" s="2" t="str">
        <f>"(2048,6,6) --&gt; (200)"</f>
        <v>(2048,6,6) --&gt; (200)</v>
      </c>
      <c r="Q75" s="10">
        <f>1729036</f>
        <v>1729036</v>
      </c>
      <c r="R75" s="10">
        <f t="shared" si="28"/>
        <v>44229196</v>
      </c>
      <c r="S75" s="2">
        <f xml:space="preserve"> (1-(Q75/Q72))*100</f>
        <v>88.274383214203368</v>
      </c>
      <c r="T75" s="2" t="s">
        <v>13</v>
      </c>
      <c r="U75" s="2" t="s">
        <v>12</v>
      </c>
      <c r="V75" s="2" t="s">
        <v>15</v>
      </c>
      <c r="W75" s="2" t="s">
        <v>17</v>
      </c>
      <c r="X75" s="2">
        <v>0.97247999900000004</v>
      </c>
      <c r="Y75" s="2">
        <v>0.99901998000000003</v>
      </c>
      <c r="Z75" s="2">
        <v>0.84559994900000002</v>
      </c>
      <c r="AA75" s="2">
        <v>0.94999998799999996</v>
      </c>
    </row>
    <row r="76" spans="6:27" ht="22.2" thickTop="1" thickBot="1" x14ac:dyDescent="0.45">
      <c r="F76" s="15"/>
      <c r="G76" s="20">
        <v>1</v>
      </c>
      <c r="H76" s="5" t="s">
        <v>91</v>
      </c>
      <c r="I76" s="2" t="str">
        <f t="shared" si="25"/>
        <v>Resnet101</v>
      </c>
      <c r="J76" s="2" t="str">
        <f t="shared" si="26"/>
        <v>TINY</v>
      </c>
      <c r="K76" s="2" t="str">
        <f t="shared" si="27"/>
        <v>(3,192,192)</v>
      </c>
      <c r="L76" s="2">
        <v>200</v>
      </c>
      <c r="M76" s="2" t="str">
        <f t="shared" ref="M76:M83" si="29">"Reshape+TRL"</f>
        <v>Reshape+TRL</v>
      </c>
      <c r="N76" s="2" t="str">
        <f>"trl:: (1,1,1,500,1,1,200)"</f>
        <v>trl:: (1,1,1,500,1,1,200)</v>
      </c>
      <c r="O76" s="2" t="str">
        <f xml:space="preserve"> "(2,2,2)-type1"</f>
        <v>(2,2,2)-type1</v>
      </c>
      <c r="P76" s="2" t="str">
        <f>"(2048,6,6) --&gt; (2,2,2,1024,3,3) --&gt; (200)"</f>
        <v>(2048,6,6) --&gt; (2,2,2,1024,3,3) --&gt; (200)</v>
      </c>
      <c r="Q76" s="10">
        <f>652012</f>
        <v>652012</v>
      </c>
      <c r="R76" s="10">
        <f t="shared" si="28"/>
        <v>43152172</v>
      </c>
      <c r="S76" s="2">
        <f xml:space="preserve"> (1-(Q76/Q72))*100</f>
        <v>95.578320606545603</v>
      </c>
      <c r="T76" s="2" t="s">
        <v>13</v>
      </c>
      <c r="U76" s="2" t="s">
        <v>12</v>
      </c>
      <c r="V76" s="2" t="s">
        <v>15</v>
      </c>
      <c r="W76" s="2" t="s">
        <v>17</v>
      </c>
      <c r="X76" s="2">
        <v>0.97148996600000004</v>
      </c>
      <c r="Y76" s="2">
        <v>0.99886000200000002</v>
      </c>
      <c r="Z76" s="2">
        <v>0.849999964</v>
      </c>
      <c r="AA76" s="2">
        <v>0.954999983</v>
      </c>
    </row>
    <row r="77" spans="6:27" ht="22.2" thickTop="1" thickBot="1" x14ac:dyDescent="0.45">
      <c r="F77" s="15"/>
      <c r="G77" s="20">
        <v>1</v>
      </c>
      <c r="H77" s="5" t="s">
        <v>92</v>
      </c>
      <c r="I77" s="2" t="str">
        <f t="shared" si="25"/>
        <v>Resnet101</v>
      </c>
      <c r="J77" s="2" t="str">
        <f t="shared" si="26"/>
        <v>TINY</v>
      </c>
      <c r="K77" s="2" t="str">
        <f t="shared" si="27"/>
        <v>(3,192,192)</v>
      </c>
      <c r="L77" s="2">
        <v>200</v>
      </c>
      <c r="M77" s="2" t="str">
        <f t="shared" si="29"/>
        <v>Reshape+TRL</v>
      </c>
      <c r="N77" s="2" t="str">
        <f>"trl:: (1,1,1,500,1,1,200)"</f>
        <v>trl:: (1,1,1,500,1,1,200)</v>
      </c>
      <c r="O77" s="2" t="str">
        <f xml:space="preserve"> "(2,2,2)-type2"</f>
        <v>(2,2,2)-type2</v>
      </c>
      <c r="P77" s="2" t="str">
        <f>"(2048,6,6) --&gt; (2,2,2,1024,3,3) --&gt; (200)"</f>
        <v>(2048,6,6) --&gt; (2,2,2,1024,3,3) --&gt; (200)</v>
      </c>
      <c r="Q77" s="10">
        <f>652012</f>
        <v>652012</v>
      </c>
      <c r="R77" s="10">
        <f t="shared" si="28"/>
        <v>43152172</v>
      </c>
      <c r="S77" s="2">
        <f xml:space="preserve"> (1-(Q77/Q72))*100</f>
        <v>95.578320606545603</v>
      </c>
      <c r="T77" s="2" t="s">
        <v>13</v>
      </c>
      <c r="U77" s="2" t="s">
        <v>12</v>
      </c>
      <c r="V77" s="2" t="s">
        <v>15</v>
      </c>
      <c r="W77" s="2" t="s">
        <v>17</v>
      </c>
      <c r="X77" s="2">
        <v>0.97331994799999999</v>
      </c>
      <c r="Y77" s="2">
        <v>0.99906998899999999</v>
      </c>
      <c r="Z77" s="2">
        <v>0.85529995000000003</v>
      </c>
      <c r="AA77" s="2">
        <v>0.95829999399999999</v>
      </c>
    </row>
    <row r="78" spans="6:27" ht="22.2" thickTop="1" thickBot="1" x14ac:dyDescent="0.45">
      <c r="F78" s="15"/>
      <c r="G78" s="20">
        <v>1</v>
      </c>
      <c r="H78" s="5" t="s">
        <v>93</v>
      </c>
      <c r="I78" s="2" t="str">
        <f t="shared" si="25"/>
        <v>Resnet101</v>
      </c>
      <c r="J78" s="2" t="str">
        <f t="shared" si="26"/>
        <v>TINY</v>
      </c>
      <c r="K78" s="2" t="str">
        <f t="shared" si="27"/>
        <v>(3,192,192)</v>
      </c>
      <c r="L78" s="2">
        <v>200</v>
      </c>
      <c r="M78" s="2" t="str">
        <f t="shared" si="29"/>
        <v>Reshape+TRL</v>
      </c>
      <c r="N78" s="2" t="str">
        <f>"trl:: (1,1,1,100,1,1,100)"</f>
        <v>trl:: (1,1,1,100,1,1,100)</v>
      </c>
      <c r="O78" s="2" t="str">
        <f xml:space="preserve"> "(2,2,2)-type1"</f>
        <v>(2,2,2)-type1</v>
      </c>
      <c r="P78" s="2" t="str">
        <f>"(2048,6,6) --&gt; (2,2,2,1024,3,3) --&gt; (200)"</f>
        <v>(2048,6,6) --&gt; (2,2,2,1024,3,3) --&gt; (200)</v>
      </c>
      <c r="Q78" s="10">
        <f>132412</f>
        <v>132412</v>
      </c>
      <c r="R78" s="10">
        <f t="shared" si="28"/>
        <v>42632572</v>
      </c>
      <c r="S78" s="2">
        <f xml:space="preserve"> (1-(Q78/Q72))*100</f>
        <v>99.102035833932376</v>
      </c>
      <c r="T78" s="2" t="s">
        <v>13</v>
      </c>
      <c r="U78" s="2" t="s">
        <v>12</v>
      </c>
      <c r="V78" s="2" t="s">
        <v>15</v>
      </c>
      <c r="W78" s="2" t="s">
        <v>17</v>
      </c>
      <c r="X78" s="2">
        <v>0.95879000400000003</v>
      </c>
      <c r="Y78" s="2">
        <v>0.99580997199999999</v>
      </c>
      <c r="Z78" s="2">
        <v>0.84869998700000004</v>
      </c>
      <c r="AA78" s="2">
        <v>0.95299994899999996</v>
      </c>
    </row>
    <row r="79" spans="6:27" ht="22.2" thickTop="1" thickBot="1" x14ac:dyDescent="0.45">
      <c r="F79" s="15"/>
      <c r="G79" s="20">
        <v>1</v>
      </c>
      <c r="H79" s="5" t="s">
        <v>94</v>
      </c>
      <c r="I79" s="2" t="str">
        <f t="shared" si="25"/>
        <v>Resnet101</v>
      </c>
      <c r="J79" s="2" t="str">
        <f t="shared" si="26"/>
        <v>TINY</v>
      </c>
      <c r="K79" s="2" t="str">
        <f t="shared" si="27"/>
        <v>(3,192,192)</v>
      </c>
      <c r="L79" s="2">
        <v>200</v>
      </c>
      <c r="M79" s="2" t="str">
        <f t="shared" si="29"/>
        <v>Reshape+TRL</v>
      </c>
      <c r="N79" s="2" t="str">
        <f>"trl:: (1,1,1,100,1,1,100)"</f>
        <v>trl:: (1,1,1,100,1,1,100)</v>
      </c>
      <c r="O79" s="2" t="str">
        <f xml:space="preserve"> "(2,2,2)-type2"</f>
        <v>(2,2,2)-type2</v>
      </c>
      <c r="P79" s="2" t="str">
        <f>"(2048,6,6) --&gt; (2,2,2,1024,3,3) --&gt; (200)"</f>
        <v>(2048,6,6) --&gt; (2,2,2,1024,3,3) --&gt; (200)</v>
      </c>
      <c r="Q79" s="10">
        <f>132412</f>
        <v>132412</v>
      </c>
      <c r="R79" s="10">
        <f t="shared" si="28"/>
        <v>42632572</v>
      </c>
      <c r="S79" s="2">
        <f xml:space="preserve"> (1-(Q79/Q72))*100</f>
        <v>99.102035833932376</v>
      </c>
      <c r="T79" s="2" t="s">
        <v>13</v>
      </c>
      <c r="U79" s="2" t="s">
        <v>12</v>
      </c>
      <c r="V79" s="2" t="s">
        <v>15</v>
      </c>
      <c r="W79" s="2" t="s">
        <v>17</v>
      </c>
      <c r="X79" s="2">
        <v>0.94853997199999995</v>
      </c>
      <c r="Y79" s="2">
        <v>0.99313998199999998</v>
      </c>
      <c r="Z79" s="2">
        <v>0.85139995800000001</v>
      </c>
      <c r="AA79" s="2">
        <v>0.95260000199999995</v>
      </c>
    </row>
    <row r="80" spans="6:27" ht="22.2" thickTop="1" thickBot="1" x14ac:dyDescent="0.45">
      <c r="F80" s="15"/>
      <c r="G80" s="20">
        <v>1</v>
      </c>
      <c r="H80" s="5" t="s">
        <v>95</v>
      </c>
      <c r="I80" s="2" t="str">
        <f t="shared" si="25"/>
        <v>Resnet101</v>
      </c>
      <c r="J80" s="2" t="str">
        <f t="shared" si="26"/>
        <v>TINY</v>
      </c>
      <c r="K80" s="2" t="str">
        <f t="shared" si="27"/>
        <v>(3,192,192)</v>
      </c>
      <c r="L80" s="2">
        <v>200</v>
      </c>
      <c r="M80" s="2" t="str">
        <f t="shared" si="29"/>
        <v>Reshape+TRL</v>
      </c>
      <c r="N80" s="2" t="str">
        <f>"trl:: (4,1,1,100,1,1,200)"</f>
        <v>trl:: (4,1,1,100,1,1,200)</v>
      </c>
      <c r="O80" s="2" t="str">
        <f xml:space="preserve"> "(16,2,2)-type1"</f>
        <v>(16,2,2)-type1</v>
      </c>
      <c r="P80" s="2" t="str">
        <f>"(2048,6,6) --&gt; (16,2,2,128,3,3) --&gt; (200)"</f>
        <v>(2048,6,6) --&gt; (16,2,2,128,3,3) --&gt; (200)</v>
      </c>
      <c r="Q80" s="10">
        <f>222474</f>
        <v>222474</v>
      </c>
      <c r="R80" s="10">
        <f t="shared" si="28"/>
        <v>42722634</v>
      </c>
      <c r="S80" s="2">
        <f xml:space="preserve"> (1-(Q80/Q72))*100</f>
        <v>98.491272091036095</v>
      </c>
      <c r="T80" s="2" t="s">
        <v>13</v>
      </c>
      <c r="U80" s="2" t="s">
        <v>12</v>
      </c>
      <c r="V80" s="2" t="s">
        <v>15</v>
      </c>
      <c r="W80" s="2" t="s">
        <v>17</v>
      </c>
      <c r="X80" s="2">
        <v>0.96441996100000005</v>
      </c>
      <c r="Y80" s="2">
        <v>0.99751997000000003</v>
      </c>
      <c r="Z80" s="2">
        <v>0.85229998799999995</v>
      </c>
      <c r="AA80" s="2">
        <v>0.95529997300000002</v>
      </c>
    </row>
    <row r="81" spans="6:27" ht="22.2" thickTop="1" thickBot="1" x14ac:dyDescent="0.45">
      <c r="F81" s="15"/>
      <c r="G81" s="20">
        <v>1</v>
      </c>
      <c r="H81" s="5" t="s">
        <v>96</v>
      </c>
      <c r="I81" s="2" t="str">
        <f t="shared" si="25"/>
        <v>Resnet101</v>
      </c>
      <c r="J81" s="2" t="str">
        <f t="shared" si="26"/>
        <v>TINY</v>
      </c>
      <c r="K81" s="2" t="str">
        <f t="shared" si="27"/>
        <v>(3,192,192)</v>
      </c>
      <c r="L81" s="2">
        <v>200</v>
      </c>
      <c r="M81" s="2" t="str">
        <f t="shared" si="29"/>
        <v>Reshape+TRL</v>
      </c>
      <c r="N81" s="2" t="str">
        <f>"trl:: (4,1,1,100,1,1,200)"</f>
        <v>trl:: (4,1,1,100,1,1,200)</v>
      </c>
      <c r="O81" s="2" t="str">
        <f xml:space="preserve"> "(16,2,2)-type2"</f>
        <v>(16,2,2)-type2</v>
      </c>
      <c r="P81" s="2" t="str">
        <f>"(2048,6,6) --&gt; (16,2,2,128,3,3) --&gt; (200)"</f>
        <v>(2048,6,6) --&gt; (16,2,2,128,3,3) --&gt; (200)</v>
      </c>
      <c r="Q81" s="10">
        <f>222474</f>
        <v>222474</v>
      </c>
      <c r="R81" s="10">
        <f t="shared" si="28"/>
        <v>42722634</v>
      </c>
      <c r="S81" s="2">
        <f xml:space="preserve"> (1-(Q81/Q72))*100</f>
        <v>98.491272091036095</v>
      </c>
      <c r="T81" s="2" t="s">
        <v>13</v>
      </c>
      <c r="U81" s="2" t="s">
        <v>12</v>
      </c>
      <c r="V81" s="2" t="s">
        <v>15</v>
      </c>
      <c r="W81" s="2" t="s">
        <v>17</v>
      </c>
      <c r="X81" s="2">
        <v>0.96591997100000004</v>
      </c>
      <c r="Y81" s="2">
        <v>0.99764996800000005</v>
      </c>
      <c r="Z81" s="2">
        <v>0.85359996599999999</v>
      </c>
      <c r="AA81" s="2">
        <v>0.95459997699999999</v>
      </c>
    </row>
    <row r="82" spans="6:27" ht="22.2" thickTop="1" thickBot="1" x14ac:dyDescent="0.45">
      <c r="F82" s="15"/>
      <c r="G82" s="20">
        <v>1</v>
      </c>
      <c r="H82" s="5" t="s">
        <v>97</v>
      </c>
      <c r="I82" s="2" t="str">
        <f t="shared" si="25"/>
        <v>Resnet101</v>
      </c>
      <c r="J82" s="2" t="str">
        <f t="shared" si="26"/>
        <v>TINY</v>
      </c>
      <c r="K82" s="2" t="str">
        <f t="shared" si="27"/>
        <v>(3,192,192)</v>
      </c>
      <c r="L82" s="2">
        <v>200</v>
      </c>
      <c r="M82" s="2" t="str">
        <f t="shared" si="29"/>
        <v>Reshape+TRL</v>
      </c>
      <c r="N82" s="2" t="str">
        <f>"trl:: (4,1,1,50,1,1,100)"</f>
        <v>trl:: (4,1,1,50,1,1,100)</v>
      </c>
      <c r="O82" s="2" t="str">
        <f xml:space="preserve"> "(16,2,2)-type1"</f>
        <v>(16,2,2)-type1</v>
      </c>
      <c r="P82" s="2" t="str">
        <f>"(2048,6,6) --&gt; (16,2,2,128,3,3) --&gt; (200)"</f>
        <v>(2048,6,6) --&gt; (16,2,2,128,3,3) --&gt; (200)</v>
      </c>
      <c r="Q82" s="10">
        <f>91274</f>
        <v>91274</v>
      </c>
      <c r="R82" s="10">
        <f t="shared" si="28"/>
        <v>42591434</v>
      </c>
      <c r="S82" s="2">
        <f xml:space="preserve"> (1-(Q82/Q72))*100</f>
        <v>99.381016967543303</v>
      </c>
      <c r="T82" s="2" t="s">
        <v>13</v>
      </c>
      <c r="U82" s="2" t="s">
        <v>12</v>
      </c>
      <c r="V82" s="2" t="s">
        <v>15</v>
      </c>
      <c r="W82" s="2" t="s">
        <v>17</v>
      </c>
      <c r="X82" s="2">
        <v>0.95944994699999997</v>
      </c>
      <c r="Y82" s="2">
        <v>0.99612999000000002</v>
      </c>
      <c r="Z82" s="2">
        <v>0.85209995500000002</v>
      </c>
      <c r="AA82" s="2">
        <v>0.95219999600000005</v>
      </c>
    </row>
    <row r="83" spans="6:27" ht="22.2" thickTop="1" thickBot="1" x14ac:dyDescent="0.45">
      <c r="F83" s="15"/>
      <c r="G83" s="20">
        <v>1</v>
      </c>
      <c r="H83" s="5" t="s">
        <v>98</v>
      </c>
      <c r="I83" s="7" t="str">
        <f t="shared" si="25"/>
        <v>Resnet101</v>
      </c>
      <c r="J83" s="7" t="str">
        <f t="shared" si="26"/>
        <v>TINY</v>
      </c>
      <c r="K83" s="7" t="str">
        <f t="shared" si="27"/>
        <v>(3,192,192)</v>
      </c>
      <c r="L83" s="7">
        <v>200</v>
      </c>
      <c r="M83" s="7" t="str">
        <f t="shared" si="29"/>
        <v>Reshape+TRL</v>
      </c>
      <c r="N83" s="7" t="str">
        <f>"trl:: (4,1,1,50,1,1,100)"</f>
        <v>trl:: (4,1,1,50,1,1,100)</v>
      </c>
      <c r="O83" s="7" t="str">
        <f xml:space="preserve"> "(16,2,2)-type2"</f>
        <v>(16,2,2)-type2</v>
      </c>
      <c r="P83" s="7" t="str">
        <f>"(2048,6,6) --&gt; (16,2,2,128,3,3) --&gt; (200)"</f>
        <v>(2048,6,6) --&gt; (16,2,2,128,3,3) --&gt; (200)</v>
      </c>
      <c r="Q83" s="18">
        <f>91274</f>
        <v>91274</v>
      </c>
      <c r="R83" s="18">
        <f t="shared" si="28"/>
        <v>42591434</v>
      </c>
      <c r="S83" s="7">
        <f xml:space="preserve"> (1-(Q83/Q72))*100</f>
        <v>99.381016967543303</v>
      </c>
      <c r="T83" s="7" t="s">
        <v>13</v>
      </c>
      <c r="U83" s="7" t="s">
        <v>12</v>
      </c>
      <c r="V83" s="7" t="s">
        <v>15</v>
      </c>
      <c r="W83" s="7" t="s">
        <v>17</v>
      </c>
      <c r="X83" s="2">
        <v>0.96065998100000005</v>
      </c>
      <c r="Y83" s="2">
        <v>0.99593997000000001</v>
      </c>
      <c r="Z83" s="2">
        <v>0.852499962</v>
      </c>
      <c r="AA83" s="2">
        <v>0.95369994599999997</v>
      </c>
    </row>
    <row r="84" spans="6:27" ht="22.2" thickTop="1" thickBot="1" x14ac:dyDescent="0.45">
      <c r="F84" s="7"/>
      <c r="G84" s="17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spans="6:27" ht="22.2" thickTop="1" thickBot="1" x14ac:dyDescent="0.45">
      <c r="F85" s="15"/>
      <c r="G85" s="20">
        <v>1</v>
      </c>
      <c r="H85" s="5" t="s">
        <v>99</v>
      </c>
      <c r="I85" s="2" t="str">
        <f xml:space="preserve"> "CNN"</f>
        <v>CNN</v>
      </c>
      <c r="J85" s="2" t="str">
        <f t="shared" ref="J85:J88" si="30" xml:space="preserve"> "MNIST"</f>
        <v>MNIST</v>
      </c>
      <c r="K85" s="2" t="str">
        <f t="shared" ref="K85:K105" si="31" xml:space="preserve"> "(3,192,192)"</f>
        <v>(3,192,192)</v>
      </c>
      <c r="L85" s="2">
        <v>10</v>
      </c>
      <c r="M85" s="2" t="str">
        <f xml:space="preserve"> "Linear"</f>
        <v>Linear</v>
      </c>
      <c r="N85" s="2" t="s">
        <v>9</v>
      </c>
      <c r="O85" s="2" t="b">
        <f xml:space="preserve"> FALSE</f>
        <v>0</v>
      </c>
      <c r="P85" s="2" t="str">
        <f>"(128,6,6) --&gt; (1024) --&gt; (10)"</f>
        <v>(128,6,6) --&gt; (1024) --&gt; (10)</v>
      </c>
      <c r="Q85" s="10">
        <f>4729866</f>
        <v>4729866</v>
      </c>
      <c r="R85" s="10">
        <f>4823562</f>
        <v>4823562</v>
      </c>
      <c r="S85" s="2" t="s">
        <v>18</v>
      </c>
      <c r="T85" s="2" t="s">
        <v>12</v>
      </c>
      <c r="U85" s="2" t="s">
        <v>108</v>
      </c>
      <c r="V85" s="2" t="s">
        <v>15</v>
      </c>
      <c r="W85" s="2" t="s">
        <v>17</v>
      </c>
      <c r="X85" s="2">
        <v>0.998283327</v>
      </c>
      <c r="Y85" s="2">
        <v>1</v>
      </c>
      <c r="Z85" s="2">
        <v>0.98149997</v>
      </c>
      <c r="AA85" s="2">
        <v>0.99959999300000002</v>
      </c>
    </row>
    <row r="86" spans="6:27" ht="22.2" thickTop="1" thickBot="1" x14ac:dyDescent="0.45">
      <c r="F86" s="15"/>
      <c r="G86" s="20">
        <v>1</v>
      </c>
      <c r="H86" s="5" t="s">
        <v>100</v>
      </c>
      <c r="I86" s="2" t="str">
        <f t="shared" ref="I86:I88" si="32" xml:space="preserve"> "CNN"</f>
        <v>CNN</v>
      </c>
      <c r="J86" s="2" t="str">
        <f t="shared" si="30"/>
        <v>MNIST</v>
      </c>
      <c r="K86" s="2" t="str">
        <f t="shared" si="31"/>
        <v>(3,192,192)</v>
      </c>
      <c r="L86" s="2">
        <v>10</v>
      </c>
      <c r="M86" s="2" t="str">
        <f xml:space="preserve"> "TCL + TRL"</f>
        <v>TCL + TRL</v>
      </c>
      <c r="N86" s="2" t="str">
        <f>"tcl:: (128,6,6), trl:: (128,6,6,10)"</f>
        <v>tcl:: (128,6,6), trl:: (128,6,6,10)</v>
      </c>
      <c r="O86" s="2" t="b">
        <f xml:space="preserve"> FALSE</f>
        <v>0</v>
      </c>
      <c r="P86" s="2" t="str">
        <f>"(128,6,6) --&gt; (128,6,6) --&gt; (10)"</f>
        <v>(128,6,6) --&gt; (128,6,6) --&gt; (10)</v>
      </c>
      <c r="Q86" s="10">
        <f>79092</f>
        <v>79092</v>
      </c>
      <c r="R86" s="10">
        <f xml:space="preserve"> R85 - Q85 + Q86</f>
        <v>172788</v>
      </c>
      <c r="S86" s="2">
        <f xml:space="preserve"> (1-(Q86/Q85))*100</f>
        <v>98.327817320828956</v>
      </c>
      <c r="T86" s="2" t="s">
        <v>113</v>
      </c>
      <c r="U86" s="2" t="s">
        <v>13</v>
      </c>
      <c r="V86" s="2" t="s">
        <v>15</v>
      </c>
      <c r="W86" s="2" t="s">
        <v>17</v>
      </c>
      <c r="X86" s="2">
        <v>0.98510003099999999</v>
      </c>
      <c r="Y86" s="2">
        <v>0.99991667299999998</v>
      </c>
      <c r="Z86" s="2">
        <v>0.95629996100000003</v>
      </c>
      <c r="AA86" s="2">
        <v>0.99969995</v>
      </c>
    </row>
    <row r="87" spans="6:27" ht="22.2" thickTop="1" thickBot="1" x14ac:dyDescent="0.45">
      <c r="F87" s="15"/>
      <c r="G87" s="20">
        <v>1</v>
      </c>
      <c r="H87" s="5" t="s">
        <v>101</v>
      </c>
      <c r="I87" s="2" t="str">
        <f t="shared" si="32"/>
        <v>CNN</v>
      </c>
      <c r="J87" s="2" t="str">
        <f t="shared" si="30"/>
        <v>MNIST</v>
      </c>
      <c r="K87" s="2" t="str">
        <f t="shared" si="31"/>
        <v>(3,192,192)</v>
      </c>
      <c r="L87" s="2">
        <v>10</v>
      </c>
      <c r="M87" s="2" t="str">
        <f>"Reshape+Dropout+TCL+TRL"</f>
        <v>Reshape+Dropout+TCL+TRL</v>
      </c>
      <c r="N87" s="2" t="str">
        <f>"tcl::(2,1,1,64,6,6), trl:: (2,1,1,64,6,6,10)"</f>
        <v>tcl::(2,1,1,64,6,6), trl:: (2,1,1,64,6,6,10)</v>
      </c>
      <c r="O87" s="2" t="str">
        <f xml:space="preserve"> "(2,1,1)-type1"</f>
        <v>(2,1,1)-type1</v>
      </c>
      <c r="P87" s="2" t="str">
        <f>"(128,6,6) --&gt; (2,1,1,64,6,6) --&gt; (2,1,1,64,6,6) --&gt; (10)"</f>
        <v>(128,6,6) --&gt; (2,1,1,64,6,6) --&gt; (2,1,1,64,6,6) --&gt; (10)</v>
      </c>
      <c r="Q87" s="10">
        <f>54528</f>
        <v>54528</v>
      </c>
      <c r="R87" s="10">
        <f>R86 -Q86 + Q87</f>
        <v>148224</v>
      </c>
      <c r="S87" s="2">
        <f xml:space="preserve"> (1-(Q87/Q85))*100</f>
        <v>98.847155500811226</v>
      </c>
      <c r="T87" s="2" t="s">
        <v>113</v>
      </c>
      <c r="U87" s="2" t="s">
        <v>13</v>
      </c>
      <c r="V87" s="2" t="s">
        <v>15</v>
      </c>
      <c r="W87" s="2" t="s">
        <v>17</v>
      </c>
      <c r="X87" s="2">
        <v>0.96313333499999998</v>
      </c>
      <c r="Y87" s="2">
        <v>0.99953335499999996</v>
      </c>
      <c r="Z87" s="2">
        <v>0.97119998900000004</v>
      </c>
      <c r="AA87" s="2">
        <v>0.99979996699999996</v>
      </c>
    </row>
    <row r="88" spans="6:27" ht="22.2" thickTop="1" thickBot="1" x14ac:dyDescent="0.45">
      <c r="F88" s="15"/>
      <c r="G88" s="20">
        <v>1</v>
      </c>
      <c r="H88" s="5" t="s">
        <v>102</v>
      </c>
      <c r="I88" s="2" t="str">
        <f t="shared" si="32"/>
        <v>CNN</v>
      </c>
      <c r="J88" s="2" t="str">
        <f t="shared" si="30"/>
        <v>MNIST</v>
      </c>
      <c r="K88" s="2" t="str">
        <f t="shared" si="31"/>
        <v>(3,192,192)</v>
      </c>
      <c r="L88" s="2">
        <v>10</v>
      </c>
      <c r="M88" s="2" t="str">
        <f>"Reshape+Dropout+TCL+TRL"</f>
        <v>Reshape+Dropout+TCL+TRL</v>
      </c>
      <c r="N88" s="2" t="str">
        <f>"tcl::(2,1,1,64,6,6), trl:: (2,1,1,64,6,6,10)"</f>
        <v>tcl::(2,1,1,64,6,6), trl:: (2,1,1,64,6,6,10)</v>
      </c>
      <c r="O88" s="2" t="str">
        <f xml:space="preserve"> "(2,1,1)-type2"</f>
        <v>(2,1,1)-type2</v>
      </c>
      <c r="P88" s="2" t="str">
        <f>"(128,6,6) --&gt; (2,1,1,64,6,6) --&gt; (2,1,1,64,6,6) --&gt; (10)"</f>
        <v>(128,6,6) --&gt; (2,1,1,64,6,6) --&gt; (2,1,1,64,6,6) --&gt; (10)</v>
      </c>
      <c r="Q88" s="10">
        <f>54528</f>
        <v>54528</v>
      </c>
      <c r="R88" s="10">
        <f xml:space="preserve"> R87 - Q87 + Q88</f>
        <v>148224</v>
      </c>
      <c r="S88" s="2">
        <f xml:space="preserve"> (1-(Q88/Q85))*100</f>
        <v>98.847155500811226</v>
      </c>
      <c r="T88" s="2" t="s">
        <v>113</v>
      </c>
      <c r="U88" s="2" t="s">
        <v>13</v>
      </c>
      <c r="V88" s="2" t="s">
        <v>15</v>
      </c>
      <c r="W88" s="2" t="s">
        <v>17</v>
      </c>
      <c r="X88" s="2">
        <v>0.96453332899999999</v>
      </c>
      <c r="Y88" s="2">
        <v>0.99950003600000004</v>
      </c>
      <c r="Z88" s="2">
        <v>0.97129994600000003</v>
      </c>
      <c r="AA88" s="2">
        <v>0.99969995</v>
      </c>
    </row>
    <row r="89" spans="6:27" ht="22.2" thickTop="1" thickBot="1" x14ac:dyDescent="0.45">
      <c r="F89" s="7"/>
      <c r="G89" s="17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spans="6:27" ht="22.2" thickTop="1" thickBot="1" x14ac:dyDescent="0.45">
      <c r="F90" s="15"/>
      <c r="G90" s="20">
        <v>1</v>
      </c>
      <c r="H90" s="5" t="s">
        <v>103</v>
      </c>
      <c r="I90" s="2" t="str">
        <f xml:space="preserve"> "CNN"</f>
        <v>CNN</v>
      </c>
      <c r="J90" s="2" t="str">
        <f t="shared" ref="J90:J93" si="33" xml:space="preserve"> "CIFAR10"</f>
        <v>CIFAR10</v>
      </c>
      <c r="K90" s="2" t="str">
        <f t="shared" si="31"/>
        <v>(3,192,192)</v>
      </c>
      <c r="L90" s="2">
        <v>10</v>
      </c>
      <c r="M90" s="2" t="str">
        <f xml:space="preserve"> "Linear"</f>
        <v>Linear</v>
      </c>
      <c r="N90" s="2" t="s">
        <v>9</v>
      </c>
      <c r="O90" s="2" t="b">
        <f xml:space="preserve"> FALSE</f>
        <v>0</v>
      </c>
      <c r="P90" s="2" t="str">
        <f>"(128,6,6) --&gt; (1024) --&gt; (10)"</f>
        <v>(128,6,6) --&gt; (1024) --&gt; (10)</v>
      </c>
      <c r="Q90" s="10">
        <f>4729866</f>
        <v>4729866</v>
      </c>
      <c r="R90" s="10">
        <f>4823562</f>
        <v>4823562</v>
      </c>
      <c r="S90" s="2" t="s">
        <v>18</v>
      </c>
      <c r="T90" s="2" t="s">
        <v>112</v>
      </c>
      <c r="U90" s="2" t="s">
        <v>108</v>
      </c>
      <c r="V90" s="2" t="s">
        <v>15</v>
      </c>
      <c r="W90" s="2" t="s">
        <v>17</v>
      </c>
      <c r="X90" s="2">
        <v>0.94639998700000005</v>
      </c>
      <c r="Y90" s="2">
        <v>0.99974000500000004</v>
      </c>
      <c r="Z90" s="2">
        <v>0.76099997799999997</v>
      </c>
      <c r="AA90" s="2">
        <v>0.98049998299999996</v>
      </c>
    </row>
    <row r="91" spans="6:27" ht="22.2" thickTop="1" thickBot="1" x14ac:dyDescent="0.45">
      <c r="F91" s="15"/>
      <c r="G91" s="20">
        <v>1</v>
      </c>
      <c r="H91" s="5" t="s">
        <v>104</v>
      </c>
      <c r="I91" s="2" t="str">
        <f t="shared" ref="I91:I93" si="34" xml:space="preserve"> "CNN"</f>
        <v>CNN</v>
      </c>
      <c r="J91" s="2" t="str">
        <f t="shared" si="33"/>
        <v>CIFAR10</v>
      </c>
      <c r="K91" s="2" t="str">
        <f t="shared" si="31"/>
        <v>(3,192,192)</v>
      </c>
      <c r="L91" s="2">
        <v>10</v>
      </c>
      <c r="M91" s="2" t="str">
        <f xml:space="preserve"> "TCL + TRL"</f>
        <v>TCL + TRL</v>
      </c>
      <c r="N91" s="2" t="str">
        <f>"tcl:: (128,6,6), trl:: (128,6,6,10)"</f>
        <v>tcl:: (128,6,6), trl:: (128,6,6,10)</v>
      </c>
      <c r="O91" s="2" t="b">
        <f xml:space="preserve"> FALSE</f>
        <v>0</v>
      </c>
      <c r="P91" s="2" t="str">
        <f>"(128,6,6) --&gt; (128,6,6) --&gt; (10)"</f>
        <v>(128,6,6) --&gt; (128,6,6) --&gt; (10)</v>
      </c>
      <c r="Q91" s="10">
        <f>79092</f>
        <v>79092</v>
      </c>
      <c r="R91" s="10">
        <f xml:space="preserve"> R90 - Q90 + Q91</f>
        <v>172788</v>
      </c>
      <c r="S91" s="2">
        <f xml:space="preserve"> (1-(Q91/Q90))*100</f>
        <v>98.327817320828956</v>
      </c>
      <c r="T91" s="2" t="s">
        <v>113</v>
      </c>
      <c r="U91" s="2" t="s">
        <v>13</v>
      </c>
      <c r="V91" s="2" t="s">
        <v>15</v>
      </c>
      <c r="W91" s="2" t="s">
        <v>17</v>
      </c>
      <c r="X91" s="2">
        <v>0.75427997099999999</v>
      </c>
      <c r="Y91" s="2">
        <v>0.98355996599999995</v>
      </c>
      <c r="Z91" s="2">
        <v>0.75069999700000001</v>
      </c>
      <c r="AA91" s="2">
        <v>0.98329997099999999</v>
      </c>
    </row>
    <row r="92" spans="6:27" ht="22.2" thickTop="1" thickBot="1" x14ac:dyDescent="0.45">
      <c r="F92" s="15"/>
      <c r="G92" s="20">
        <v>1</v>
      </c>
      <c r="H92" s="5" t="s">
        <v>105</v>
      </c>
      <c r="I92" s="2" t="str">
        <f t="shared" si="34"/>
        <v>CNN</v>
      </c>
      <c r="J92" s="2" t="str">
        <f t="shared" si="33"/>
        <v>CIFAR10</v>
      </c>
      <c r="K92" s="2" t="str">
        <f t="shared" si="31"/>
        <v>(3,192,192)</v>
      </c>
      <c r="L92" s="2">
        <v>10</v>
      </c>
      <c r="M92" s="2" t="str">
        <f>"Reshape+Dropout+TCL+TRL"</f>
        <v>Reshape+Dropout+TCL+TRL</v>
      </c>
      <c r="N92" s="2" t="str">
        <f>"tcl::(2,1,1,64,6,6), trl:: (2,1,1,64,6,6,10)"</f>
        <v>tcl::(2,1,1,64,6,6), trl:: (2,1,1,64,6,6,10)</v>
      </c>
      <c r="O92" s="2" t="str">
        <f xml:space="preserve"> "(2,1,1)-type1"</f>
        <v>(2,1,1)-type1</v>
      </c>
      <c r="P92" s="2" t="str">
        <f>"(128,6,6) --&gt; (2,1,1,64,6,6) --&gt; (2,1,1,64,6,6) --&gt; (10)"</f>
        <v>(128,6,6) --&gt; (2,1,1,64,6,6) --&gt; (2,1,1,64,6,6) --&gt; (10)</v>
      </c>
      <c r="Q92" s="10">
        <f>54528</f>
        <v>54528</v>
      </c>
      <c r="R92" s="10">
        <f>R91 -Q91 + Q92</f>
        <v>148224</v>
      </c>
      <c r="S92" s="2">
        <f xml:space="preserve"> (1-(Q92/Q90))*100</f>
        <v>98.847155500811226</v>
      </c>
      <c r="T92" s="2" t="s">
        <v>113</v>
      </c>
      <c r="U92" s="2" t="s">
        <v>13</v>
      </c>
      <c r="V92" s="2" t="s">
        <v>15</v>
      </c>
      <c r="W92" s="2" t="s">
        <v>17</v>
      </c>
      <c r="X92" s="2">
        <v>0.69481998700000003</v>
      </c>
      <c r="Y92" s="2">
        <v>0.97643995299999997</v>
      </c>
      <c r="Z92" s="2">
        <v>0.73579996800000003</v>
      </c>
      <c r="AA92" s="2">
        <v>0.98099994700000004</v>
      </c>
    </row>
    <row r="93" spans="6:27" ht="22.2" thickTop="1" thickBot="1" x14ac:dyDescent="0.45">
      <c r="F93" s="15"/>
      <c r="G93" s="20">
        <v>1</v>
      </c>
      <c r="H93" s="5" t="s">
        <v>106</v>
      </c>
      <c r="I93" s="2" t="str">
        <f t="shared" si="34"/>
        <v>CNN</v>
      </c>
      <c r="J93" s="2" t="str">
        <f t="shared" si="33"/>
        <v>CIFAR10</v>
      </c>
      <c r="K93" s="2" t="str">
        <f t="shared" si="31"/>
        <v>(3,192,192)</v>
      </c>
      <c r="L93" s="2">
        <v>10</v>
      </c>
      <c r="M93" s="2" t="str">
        <f>"Reshape+Dropout+TCL+TRL"</f>
        <v>Reshape+Dropout+TCL+TRL</v>
      </c>
      <c r="N93" s="2" t="str">
        <f>"tcl::(2,1,1,64,6,6), trl:: (2,1,1,64,6,6,10)"</f>
        <v>tcl::(2,1,1,64,6,6), trl:: (2,1,1,64,6,6,10)</v>
      </c>
      <c r="O93" s="2" t="str">
        <f xml:space="preserve"> "(2,1,1)-type2"</f>
        <v>(2,1,1)-type2</v>
      </c>
      <c r="P93" s="2" t="str">
        <f>"(128,6,6) --&gt; (2,1,1,64,6,6) --&gt; (2,1,1,64,6,6) --&gt; (10)"</f>
        <v>(128,6,6) --&gt; (2,1,1,64,6,6) --&gt; (2,1,1,64,6,6) --&gt; (10)</v>
      </c>
      <c r="Q93" s="10">
        <f>54528</f>
        <v>54528</v>
      </c>
      <c r="R93" s="10">
        <f xml:space="preserve"> R92 - Q92 + Q93</f>
        <v>148224</v>
      </c>
      <c r="S93" s="2">
        <f xml:space="preserve"> (1-(Q93/Q90))*100</f>
        <v>98.847155500811226</v>
      </c>
      <c r="T93" s="2" t="s">
        <v>113</v>
      </c>
      <c r="U93" s="2" t="s">
        <v>13</v>
      </c>
      <c r="V93" s="2" t="s">
        <v>15</v>
      </c>
      <c r="W93" s="2" t="s">
        <v>17</v>
      </c>
      <c r="X93" s="2">
        <v>0.69066000000000005</v>
      </c>
      <c r="Y93" s="2">
        <v>0.97525996000000004</v>
      </c>
      <c r="Z93" s="2">
        <v>0.73039996600000001</v>
      </c>
      <c r="AA93" s="2">
        <v>0.98069995600000004</v>
      </c>
    </row>
    <row r="94" spans="6:27" ht="22.2" thickTop="1" thickBot="1" x14ac:dyDescent="0.45">
      <c r="F94" s="7"/>
      <c r="G94" s="17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spans="6:27" ht="22.2" thickTop="1" thickBot="1" x14ac:dyDescent="0.45">
      <c r="F95" s="15"/>
      <c r="G95" s="20">
        <v>1</v>
      </c>
      <c r="H95" s="5" t="s">
        <v>114</v>
      </c>
      <c r="I95" s="2" t="str">
        <f xml:space="preserve"> "CNN"</f>
        <v>CNN</v>
      </c>
      <c r="J95" s="2" t="str">
        <f xml:space="preserve"> "TINY"</f>
        <v>TINY</v>
      </c>
      <c r="K95" s="2" t="str">
        <f t="shared" si="31"/>
        <v>(3,192,192)</v>
      </c>
      <c r="L95" s="2">
        <v>200</v>
      </c>
      <c r="M95" s="2" t="str">
        <f xml:space="preserve"> "Linear"</f>
        <v>Linear</v>
      </c>
      <c r="N95" s="2" t="s">
        <v>9</v>
      </c>
      <c r="O95" s="2" t="b">
        <f xml:space="preserve"> FALSE</f>
        <v>0</v>
      </c>
      <c r="P95" s="2" t="str">
        <f>"(128,6,6) --&gt; (1024) --&gt; (200)"</f>
        <v>(128,6,6) --&gt; (1024) --&gt; (200)</v>
      </c>
      <c r="Q95" s="10">
        <f>4924616</f>
        <v>4924616</v>
      </c>
      <c r="R95" s="10">
        <f>5018312</f>
        <v>5018312</v>
      </c>
      <c r="S95" s="2" t="s">
        <v>18</v>
      </c>
      <c r="T95" s="2" t="s">
        <v>118</v>
      </c>
      <c r="U95" s="2" t="s">
        <v>108</v>
      </c>
      <c r="V95" s="2" t="s">
        <v>15</v>
      </c>
      <c r="W95" s="2" t="s">
        <v>17</v>
      </c>
      <c r="X95" s="2">
        <v>0.36274999400000002</v>
      </c>
      <c r="Y95" s="2">
        <v>0.64269000300000001</v>
      </c>
      <c r="Z95" s="2">
        <v>0.28329998299999998</v>
      </c>
      <c r="AA95" s="2">
        <v>0.54019999500000004</v>
      </c>
    </row>
    <row r="96" spans="6:27" ht="22.2" thickTop="1" thickBot="1" x14ac:dyDescent="0.45">
      <c r="F96" s="15"/>
      <c r="G96" s="20">
        <v>1</v>
      </c>
      <c r="H96" s="5" t="s">
        <v>115</v>
      </c>
      <c r="I96" s="2" t="str">
        <f t="shared" ref="I96:I98" si="35" xml:space="preserve"> "CNN"</f>
        <v>CNN</v>
      </c>
      <c r="J96" s="2" t="str">
        <f t="shared" ref="J96:J98" si="36" xml:space="preserve"> "TINY"</f>
        <v>TINY</v>
      </c>
      <c r="K96" s="2" t="str">
        <f t="shared" si="31"/>
        <v>(3,192,192)</v>
      </c>
      <c r="L96" s="2">
        <v>200</v>
      </c>
      <c r="M96" s="2" t="str">
        <f xml:space="preserve"> "TCL + TRL"</f>
        <v>TCL + TRL</v>
      </c>
      <c r="N96" s="2" t="str">
        <f>"tcl:: (128,6,6), trl:: (128,6,6,200)"</f>
        <v>tcl:: (128,6,6), trl:: (128,6,6,200)</v>
      </c>
      <c r="O96" s="2" t="b">
        <f xml:space="preserve"> FALSE</f>
        <v>0</v>
      </c>
      <c r="P96" s="2" t="str">
        <f>"(128,6,6) --&gt; (128,6,6) --&gt; (200)"</f>
        <v>(128,6,6) --&gt; (128,6,6) --&gt; (200)</v>
      </c>
      <c r="Q96" s="10">
        <f>994512</f>
        <v>994512</v>
      </c>
      <c r="R96" s="10">
        <f xml:space="preserve"> R95 - Q95 + Q96</f>
        <v>1088208</v>
      </c>
      <c r="S96" s="2">
        <f xml:space="preserve"> (1-(Q96/Q95))*100</f>
        <v>79.805288371722796</v>
      </c>
      <c r="T96" s="2" t="s">
        <v>118</v>
      </c>
      <c r="U96" s="2" t="s">
        <v>108</v>
      </c>
      <c r="V96" s="2" t="s">
        <v>15</v>
      </c>
      <c r="W96" s="2" t="s">
        <v>17</v>
      </c>
      <c r="X96" s="2">
        <v>0.36796999000000002</v>
      </c>
      <c r="Y96" s="2">
        <v>0.63266998500000005</v>
      </c>
      <c r="Z96" s="2">
        <v>0.319599986</v>
      </c>
      <c r="AA96" s="2">
        <v>0.57949996000000004</v>
      </c>
    </row>
    <row r="97" spans="6:27" ht="22.2" thickTop="1" thickBot="1" x14ac:dyDescent="0.45">
      <c r="F97" s="15"/>
      <c r="G97" s="20">
        <v>1</v>
      </c>
      <c r="H97" s="5" t="s">
        <v>116</v>
      </c>
      <c r="I97" s="2" t="str">
        <f t="shared" si="35"/>
        <v>CNN</v>
      </c>
      <c r="J97" s="2" t="str">
        <f t="shared" si="36"/>
        <v>TINY</v>
      </c>
      <c r="K97" s="2" t="str">
        <f t="shared" si="31"/>
        <v>(3,192,192)</v>
      </c>
      <c r="L97" s="2">
        <v>200</v>
      </c>
      <c r="M97" s="2" t="str">
        <f>"Reshape+Dropout+TCL+TRL"</f>
        <v>Reshape+Dropout+TCL+TRL</v>
      </c>
      <c r="N97" s="2" t="str">
        <f>"tcl::(2,1,1,64,6,6), trl:: (2,1,1,50,3,3,200)"</f>
        <v>tcl::(2,1,1,64,6,6), trl:: (2,1,1,50,3,3,200)</v>
      </c>
      <c r="O97" s="2" t="str">
        <f xml:space="preserve"> "(2,1,1)-type1"</f>
        <v>(2,1,1)-type1</v>
      </c>
      <c r="P97" s="2" t="str">
        <f>"(128,6,6) --&gt; (2,1,1,64,6,6) --&gt; (2,1,1,64,6,6) --&gt; (200)"</f>
        <v>(128,6,6) --&gt; (2,1,1,64,6,6) --&gt; (2,1,1,64,6,6) --&gt; (200)</v>
      </c>
      <c r="Q97" s="10">
        <f>227416</f>
        <v>227416</v>
      </c>
      <c r="R97" s="10">
        <f>R96 -Q96 + Q97</f>
        <v>321112</v>
      </c>
      <c r="S97" s="2">
        <f xml:space="preserve"> (1-(Q97/Q95))*100</f>
        <v>95.382056184685254</v>
      </c>
      <c r="T97" s="2" t="s">
        <v>118</v>
      </c>
      <c r="U97" s="2" t="s">
        <v>108</v>
      </c>
      <c r="V97" s="2" t="s">
        <v>15</v>
      </c>
      <c r="W97" s="2" t="s">
        <v>17</v>
      </c>
      <c r="X97" s="2">
        <v>0.27983999300000001</v>
      </c>
      <c r="Y97" s="2">
        <v>0.538259983</v>
      </c>
      <c r="Z97" s="2">
        <v>0.30269998300000001</v>
      </c>
      <c r="AA97" s="2">
        <v>0.55879998200000003</v>
      </c>
    </row>
    <row r="98" spans="6:27" ht="22.2" thickTop="1" thickBot="1" x14ac:dyDescent="0.45">
      <c r="F98" s="15"/>
      <c r="G98" s="20">
        <v>1</v>
      </c>
      <c r="H98" s="5" t="s">
        <v>117</v>
      </c>
      <c r="I98" s="2" t="str">
        <f t="shared" si="35"/>
        <v>CNN</v>
      </c>
      <c r="J98" s="2" t="str">
        <f t="shared" si="36"/>
        <v>TINY</v>
      </c>
      <c r="K98" s="2" t="str">
        <f t="shared" si="31"/>
        <v>(3,192,192)</v>
      </c>
      <c r="L98" s="2">
        <v>200</v>
      </c>
      <c r="M98" s="2" t="str">
        <f>"Reshape+Dropout+TCL+TRL"</f>
        <v>Reshape+Dropout+TCL+TRL</v>
      </c>
      <c r="N98" s="2" t="str">
        <f>"tcl::(2,1,1,64,6,6), trl:: (2,1,1,50,3,3,200)"</f>
        <v>tcl::(2,1,1,64,6,6), trl:: (2,1,1,50,3,3,200)</v>
      </c>
      <c r="O98" s="2" t="str">
        <f xml:space="preserve"> "(2,1,1)-type2"</f>
        <v>(2,1,1)-type2</v>
      </c>
      <c r="P98" s="2" t="str">
        <f>"(128,6,6) --&gt; (2,1,1,64,6,6) --&gt; (2,1,1,64,6,6) --&gt; (200)"</f>
        <v>(128,6,6) --&gt; (2,1,1,64,6,6) --&gt; (2,1,1,64,6,6) --&gt; (200)</v>
      </c>
      <c r="Q98" s="10">
        <f>227416</f>
        <v>227416</v>
      </c>
      <c r="R98" s="10">
        <f xml:space="preserve"> R97 - Q97 + Q98</f>
        <v>321112</v>
      </c>
      <c r="S98" s="2">
        <f xml:space="preserve"> (1-(Q98/Q95))*100</f>
        <v>95.382056184685254</v>
      </c>
      <c r="T98" s="2" t="s">
        <v>118</v>
      </c>
      <c r="U98" s="2" t="s">
        <v>108</v>
      </c>
      <c r="V98" s="2" t="s">
        <v>15</v>
      </c>
      <c r="W98" s="2" t="s">
        <v>17</v>
      </c>
      <c r="X98" s="2">
        <v>0.27495998100000002</v>
      </c>
      <c r="Y98" s="2">
        <v>0.53253996400000003</v>
      </c>
      <c r="Z98" s="2">
        <v>0.29670000099999999</v>
      </c>
      <c r="AA98" s="2">
        <v>0.55689996500000005</v>
      </c>
    </row>
    <row r="99" spans="6:27" ht="22.2" thickTop="1" thickBot="1" x14ac:dyDescent="0.45">
      <c r="F99" s="7"/>
      <c r="G99" s="17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spans="6:27" ht="43.2" thickTop="1" thickBot="1" x14ac:dyDescent="0.45">
      <c r="F100" s="15"/>
      <c r="G100" s="20">
        <v>1</v>
      </c>
      <c r="H100" s="5" t="s">
        <v>119</v>
      </c>
      <c r="I100" s="2" t="str">
        <f xml:space="preserve"> "VGG19"</f>
        <v>VGG19</v>
      </c>
      <c r="J100" s="2" t="str">
        <f xml:space="preserve"> "TINY"</f>
        <v>TINY</v>
      </c>
      <c r="K100" s="2" t="str">
        <f t="shared" si="31"/>
        <v>(3,192,192)</v>
      </c>
      <c r="L100" s="2">
        <v>200</v>
      </c>
      <c r="M100" s="2" t="str">
        <f xml:space="preserve"> "Linear"</f>
        <v>Linear</v>
      </c>
      <c r="N100" s="2" t="s">
        <v>9</v>
      </c>
      <c r="O100" s="2" t="b">
        <f xml:space="preserve"> FALSE</f>
        <v>0</v>
      </c>
      <c r="P100" s="2" t="str">
        <f>"(512,6,6) --&gt; (4096) --&gt; (4096) --&gt; (200)"</f>
        <v>(512,6,6) --&gt; (4096) --&gt; (4096) --&gt; (200)</v>
      </c>
      <c r="Q100" s="10">
        <f>93102280</f>
        <v>93102280</v>
      </c>
      <c r="R100" s="10">
        <f>113126664</f>
        <v>113126664</v>
      </c>
      <c r="S100" s="2" t="s">
        <v>18</v>
      </c>
      <c r="T100" s="2" t="s">
        <v>109</v>
      </c>
      <c r="U100" s="2" t="s">
        <v>13</v>
      </c>
      <c r="V100" s="2" t="s">
        <v>15</v>
      </c>
      <c r="W100" s="2" t="s">
        <v>110</v>
      </c>
      <c r="X100" s="2">
        <v>0.68415999400000005</v>
      </c>
      <c r="Y100" s="2">
        <v>0.87247997499999996</v>
      </c>
      <c r="Z100" s="2">
        <v>0.63669997499999997</v>
      </c>
      <c r="AA100" s="2">
        <v>0.84169995799999997</v>
      </c>
    </row>
    <row r="101" spans="6:27" ht="43.2" thickTop="1" thickBot="1" x14ac:dyDescent="0.45">
      <c r="F101" s="15"/>
      <c r="G101" s="20">
        <v>1</v>
      </c>
      <c r="H101" s="5" t="s">
        <v>120</v>
      </c>
      <c r="I101" s="2" t="str">
        <f t="shared" ref="I101:I103" si="37" xml:space="preserve"> "VGG19"</f>
        <v>VGG19</v>
      </c>
      <c r="J101" s="2" t="str">
        <f t="shared" ref="J101:J103" si="38" xml:space="preserve"> "TINY"</f>
        <v>TINY</v>
      </c>
      <c r="K101" s="2" t="str">
        <f t="shared" si="31"/>
        <v>(3,192,192)</v>
      </c>
      <c r="L101" s="2">
        <v>200</v>
      </c>
      <c r="M101" s="2" t="str">
        <f xml:space="preserve"> "TCL + TRL"</f>
        <v>TCL + TRL</v>
      </c>
      <c r="N101" s="2" t="str">
        <f>"tcl:: (512,6,6), trl:: (512,6,6,200)"</f>
        <v>tcl:: (512,6,6), trl:: (512,6,6,200)</v>
      </c>
      <c r="O101" s="2" t="b">
        <f xml:space="preserve"> FALSE</f>
        <v>0</v>
      </c>
      <c r="P101" s="2" t="str">
        <f>"(512,6,6) --&gt; (512,6,6) --&gt; (200)"</f>
        <v>(512,6,6) --&gt; (512,6,6) --&gt; (200)</v>
      </c>
      <c r="Q101" s="10">
        <f>4250832</f>
        <v>4250832</v>
      </c>
      <c r="R101" s="10">
        <f xml:space="preserve"> R100 - Q100 + Q101</f>
        <v>24275216</v>
      </c>
      <c r="S101" s="2">
        <f xml:space="preserve"> (1-(Q101/Q100))*100</f>
        <v>95.43423426365068</v>
      </c>
      <c r="T101" s="2" t="s">
        <v>109</v>
      </c>
      <c r="U101" s="2" t="s">
        <v>13</v>
      </c>
      <c r="V101" s="2" t="s">
        <v>15</v>
      </c>
      <c r="W101" s="2" t="s">
        <v>110</v>
      </c>
      <c r="X101" s="2">
        <v>0.81009995899999998</v>
      </c>
      <c r="Y101" s="2">
        <v>0.95995998400000004</v>
      </c>
      <c r="Z101" s="2">
        <v>0.67320001100000004</v>
      </c>
      <c r="AA101" s="2">
        <v>0.87879997499999996</v>
      </c>
    </row>
    <row r="102" spans="6:27" ht="43.2" thickTop="1" thickBot="1" x14ac:dyDescent="0.45">
      <c r="F102" s="15"/>
      <c r="G102" s="20">
        <v>1</v>
      </c>
      <c r="H102" s="5" t="s">
        <v>121</v>
      </c>
      <c r="I102" s="2" t="str">
        <f t="shared" si="37"/>
        <v>VGG19</v>
      </c>
      <c r="J102" s="2" t="str">
        <f xml:space="preserve"> "TINY"</f>
        <v>TINY</v>
      </c>
      <c r="K102" s="2" t="str">
        <f t="shared" si="31"/>
        <v>(3,192,192)</v>
      </c>
      <c r="L102" s="2">
        <v>200</v>
      </c>
      <c r="M102" s="2" t="str">
        <f>"Reshape+Dropout+TCL+TRL"</f>
        <v>Reshape+Dropout+TCL+TRL</v>
      </c>
      <c r="N102" s="2" t="str">
        <f>"tcl::(2,2,2,256,1,1), trl:: (1,1,1,256,1,1,200)"</f>
        <v>tcl::(2,2,2,256,1,1), trl:: (1,1,1,256,1,1,200)</v>
      </c>
      <c r="O102" s="2" t="str">
        <f xml:space="preserve"> "(2,2,2)-type1"</f>
        <v>(2,2,2)-type1</v>
      </c>
      <c r="P102" s="2" t="str">
        <f>"(512,6,6) --&gt; (2,2,2,256,3,3) --&gt; (2,P1232,2,256,1,1) --&gt; (200)"</f>
        <v>(512,6,6) --&gt; (2,2,2,256,3,3) --&gt; (2,P1232,2,256,1,1) --&gt; (200)</v>
      </c>
      <c r="Q102" s="10">
        <f>666714</f>
        <v>666714</v>
      </c>
      <c r="R102" s="10">
        <f>R101 -Q101 + Q102</f>
        <v>20691098</v>
      </c>
      <c r="S102" s="2">
        <f xml:space="preserve"> (1-(Q102/Q100))*100</f>
        <v>99.283890791933345</v>
      </c>
      <c r="T102" s="2" t="s">
        <v>109</v>
      </c>
      <c r="U102" s="2" t="s">
        <v>13</v>
      </c>
      <c r="V102" s="2" t="s">
        <v>15</v>
      </c>
      <c r="W102" s="2" t="s">
        <v>110</v>
      </c>
      <c r="X102" s="2">
        <v>0.77741998400000001</v>
      </c>
      <c r="Y102" s="2">
        <v>0.93988996700000005</v>
      </c>
      <c r="Z102" s="2">
        <v>0.68919998400000004</v>
      </c>
      <c r="AA102" s="2">
        <v>0.88169997899999997</v>
      </c>
    </row>
    <row r="103" spans="6:27" ht="43.2" thickTop="1" thickBot="1" x14ac:dyDescent="0.45">
      <c r="F103" s="15"/>
      <c r="G103" s="20">
        <v>1</v>
      </c>
      <c r="H103" s="5" t="s">
        <v>122</v>
      </c>
      <c r="I103" s="2" t="str">
        <f t="shared" si="37"/>
        <v>VGG19</v>
      </c>
      <c r="J103" s="2" t="str">
        <f t="shared" si="38"/>
        <v>TINY</v>
      </c>
      <c r="K103" s="2" t="str">
        <f xml:space="preserve"> "(3,192,192)"</f>
        <v>(3,192,192)</v>
      </c>
      <c r="L103" s="2">
        <v>200</v>
      </c>
      <c r="M103" s="2" t="str">
        <f>"Reshape+Dropout+TCL+TRL"</f>
        <v>Reshape+Dropout+TCL+TRL</v>
      </c>
      <c r="N103" s="2" t="str">
        <f>"tcl::(2,2,2,256,1,1), trl:: (1,1,1,256,1,1,200)"</f>
        <v>tcl::(2,2,2,256,1,1), trl:: (1,1,1,256,1,1,200)</v>
      </c>
      <c r="O103" s="2" t="str">
        <f xml:space="preserve"> "(2,2,2)-type2"</f>
        <v>(2,2,2)-type2</v>
      </c>
      <c r="P103" s="2" t="str">
        <f>"(512,6,6) --&gt; (2,2,2,256,3,3) --&gt; (2,2,2,256,1,1) --&gt; (200)"</f>
        <v>(512,6,6) --&gt; (2,2,2,256,3,3) --&gt; (2,2,2,256,1,1) --&gt; (200)</v>
      </c>
      <c r="Q103" s="10">
        <f>666714</f>
        <v>666714</v>
      </c>
      <c r="R103" s="10">
        <f xml:space="preserve"> R102 - Q102 + Q103</f>
        <v>20691098</v>
      </c>
      <c r="S103" s="2">
        <f xml:space="preserve"> (1-(Q103/Q100))*100</f>
        <v>99.283890791933345</v>
      </c>
      <c r="T103" s="2" t="s">
        <v>109</v>
      </c>
      <c r="U103" s="2" t="s">
        <v>13</v>
      </c>
      <c r="V103" s="2" t="s">
        <v>15</v>
      </c>
      <c r="W103" s="2" t="s">
        <v>110</v>
      </c>
      <c r="X103" s="2">
        <v>0.77881997800000002</v>
      </c>
      <c r="Y103" s="2">
        <v>0.939239979</v>
      </c>
      <c r="Z103" s="2">
        <v>0.67680001300000003</v>
      </c>
      <c r="AA103" s="2">
        <v>0.88159996299999999</v>
      </c>
    </row>
    <row r="104" spans="6:27" ht="43.2" thickTop="1" thickBot="1" x14ac:dyDescent="0.45">
      <c r="F104" s="15"/>
      <c r="G104" s="20"/>
      <c r="H104" s="5" t="s">
        <v>127</v>
      </c>
      <c r="I104" s="2" t="s">
        <v>131</v>
      </c>
      <c r="J104" s="2" t="s">
        <v>129</v>
      </c>
      <c r="K104" s="2" t="str">
        <f t="shared" si="31"/>
        <v>(3,192,192)</v>
      </c>
      <c r="L104" s="2">
        <v>200</v>
      </c>
      <c r="M104" s="2" t="s">
        <v>130</v>
      </c>
      <c r="N104" s="2" t="str">
        <f>"tcl::(6,2,2,64,3,3), trl:: (4,2,2,64,1,1,200)"</f>
        <v>tcl::(6,2,2,64,3,3), trl:: (4,2,2,64,1,1,200)</v>
      </c>
      <c r="O104" s="2" t="str">
        <f xml:space="preserve"> "(8,2,2)-type1"</f>
        <v>(8,2,2)-type1</v>
      </c>
      <c r="P104" s="2" t="str">
        <f>"(512,6,6) --&gt; (8,2,2,64,3,3) --&gt; (8,2,2,64,3,3) --&gt; (200)"</f>
        <v>(512,6,6) --&gt; (8,2,2,64,3,3) --&gt; (8,2,2,64,3,3) --&gt; (200)</v>
      </c>
      <c r="Q104" s="10">
        <v>253104</v>
      </c>
      <c r="R104" s="10">
        <v>20277488</v>
      </c>
      <c r="S104" s="2">
        <f xml:space="preserve"> (1-(Q104/Q100))*100</f>
        <v>99.728144144268001</v>
      </c>
      <c r="T104" s="2" t="s">
        <v>109</v>
      </c>
      <c r="U104" s="2" t="s">
        <v>13</v>
      </c>
      <c r="V104" s="2" t="s">
        <v>15</v>
      </c>
      <c r="W104" s="2" t="s">
        <v>110</v>
      </c>
      <c r="X104" s="2">
        <v>0.78709995700000002</v>
      </c>
      <c r="Y104" s="2">
        <v>0.94349998199999996</v>
      </c>
      <c r="Z104" s="2">
        <v>0.68669998600000004</v>
      </c>
      <c r="AA104" s="2">
        <v>0.88330000600000003</v>
      </c>
    </row>
    <row r="105" spans="6:27" ht="43.2" thickTop="1" thickBot="1" x14ac:dyDescent="0.45">
      <c r="F105" s="15"/>
      <c r="G105" s="20"/>
      <c r="H105" s="5" t="s">
        <v>128</v>
      </c>
      <c r="I105" s="2" t="s">
        <v>131</v>
      </c>
      <c r="J105" s="2" t="s">
        <v>129</v>
      </c>
      <c r="K105" s="2" t="str">
        <f t="shared" si="31"/>
        <v>(3,192,192)</v>
      </c>
      <c r="L105" s="2">
        <v>200</v>
      </c>
      <c r="M105" s="2" t="s">
        <v>130</v>
      </c>
      <c r="N105" s="2" t="str">
        <f>"tcl::(6,2,2,64,3,3), trl:: (4,2,2,64,1,1,200)"</f>
        <v>tcl::(6,2,2,64,3,3), trl:: (4,2,2,64,1,1,200)</v>
      </c>
      <c r="O105" s="2" t="str">
        <f xml:space="preserve"> "(8,2,2)-type2"</f>
        <v>(8,2,2)-type2</v>
      </c>
      <c r="P105" s="2" t="str">
        <f>"(512,6,6) --&gt; (8,2,2,64,3,3) --&gt; (8,2,2,64,3,3) --&gt; (200)"</f>
        <v>(512,6,6) --&gt; (8,2,2,64,3,3) --&gt; (8,2,2,64,3,3) --&gt; (200)</v>
      </c>
      <c r="Q105" s="10">
        <v>253104</v>
      </c>
      <c r="R105" s="10">
        <v>20277488</v>
      </c>
      <c r="S105" s="2">
        <f xml:space="preserve"> (1-(Q105/Q100))*100</f>
        <v>99.728144144268001</v>
      </c>
      <c r="T105" s="2" t="s">
        <v>109</v>
      </c>
      <c r="U105" s="2" t="s">
        <v>13</v>
      </c>
      <c r="V105" s="2" t="s">
        <v>15</v>
      </c>
      <c r="W105" s="2" t="s">
        <v>110</v>
      </c>
      <c r="X105" s="2">
        <v>0.78242999300000005</v>
      </c>
      <c r="Y105" s="2">
        <v>0.94028997400000003</v>
      </c>
      <c r="Z105" s="2">
        <v>0.68299996900000004</v>
      </c>
      <c r="AA105" s="2">
        <v>0.88349997999999996</v>
      </c>
    </row>
    <row r="106" spans="6:27" ht="22.2" thickTop="1" thickBot="1" x14ac:dyDescent="0.45">
      <c r="F106" s="7"/>
      <c r="G106" s="17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spans="6:27" ht="21.6" thickTop="1" x14ac:dyDescent="0.4">
      <c r="H107" s="8"/>
    </row>
    <row r="108" spans="6:27" x14ac:dyDescent="0.4">
      <c r="H108" s="8"/>
    </row>
  </sheetData>
  <autoFilter ref="G1:G108" xr:uid="{00000000-0009-0000-0000-000000000000}"/>
  <phoneticPr fontId="5" type="noConversion"/>
  <pageMargins left="0.7" right="0.7" top="0.75" bottom="0.75" header="0.3" footer="0.3"/>
  <pageSetup orientation="portrait" r:id="rId1"/>
  <ignoredErrors>
    <ignoredError sqref="H109:H1048576 H1:H85" numberStoredAsText="1"/>
    <ignoredError sqref="R87 R97 R92 R10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Plans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2024-05-18T15:12:59Z</dcterms:modified>
</cp:coreProperties>
</file>