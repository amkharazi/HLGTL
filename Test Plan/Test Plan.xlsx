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5" i="4" l="1"/>
  <c r="Q94" i="4"/>
  <c r="Q93" i="4"/>
  <c r="N95" i="4"/>
  <c r="N94" i="4"/>
  <c r="P95" i="4"/>
  <c r="P94" i="4"/>
  <c r="P93" i="4"/>
  <c r="N93" i="4"/>
  <c r="Q88" i="4"/>
  <c r="Q87" i="4"/>
  <c r="Q86" i="4"/>
  <c r="N88" i="4"/>
  <c r="N87" i="4"/>
  <c r="P88" i="4"/>
  <c r="P87" i="4"/>
  <c r="P86" i="4"/>
  <c r="N86" i="4"/>
  <c r="D3" i="4" l="1"/>
  <c r="M33" i="4" l="1"/>
  <c r="Q125" i="4" l="1"/>
  <c r="Q124" i="4"/>
  <c r="N125" i="4"/>
  <c r="N124" i="4"/>
  <c r="Q123" i="4"/>
  <c r="Q122" i="4"/>
  <c r="N123" i="4"/>
  <c r="N122" i="4"/>
  <c r="Q121" i="4"/>
  <c r="N121" i="4"/>
  <c r="P125" i="4"/>
  <c r="P124" i="4"/>
  <c r="P123" i="4"/>
  <c r="P122" i="4"/>
  <c r="P121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M123" i="4"/>
  <c r="K123" i="4"/>
  <c r="I123" i="4"/>
  <c r="O122" i="4"/>
  <c r="M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M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104" i="4"/>
  <c r="Q103" i="4"/>
  <c r="N104" i="4"/>
  <c r="N103" i="4"/>
  <c r="N97" i="4"/>
  <c r="N96" i="4"/>
  <c r="N90" i="4"/>
  <c r="N89" i="4"/>
  <c r="Q102" i="4"/>
  <c r="Q101" i="4"/>
  <c r="N102" i="4"/>
  <c r="N101" i="4"/>
  <c r="Q100" i="4"/>
  <c r="N100" i="4"/>
  <c r="Q99" i="4"/>
  <c r="R99" i="4"/>
  <c r="P104" i="4"/>
  <c r="P103" i="4"/>
  <c r="P102" i="4"/>
  <c r="P101" i="4"/>
  <c r="P100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O102" i="4"/>
  <c r="M102" i="4"/>
  <c r="K102" i="4"/>
  <c r="I102" i="4"/>
  <c r="O101" i="4"/>
  <c r="M101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O95" i="4"/>
  <c r="M95" i="4"/>
  <c r="K95" i="4"/>
  <c r="I95" i="4"/>
  <c r="O94" i="4"/>
  <c r="M94" i="4"/>
  <c r="K94" i="4"/>
  <c r="I94" i="4"/>
  <c r="O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M88" i="4"/>
  <c r="M87" i="4"/>
  <c r="M86" i="4"/>
  <c r="P85" i="4"/>
  <c r="R101" i="4" l="1"/>
  <c r="R102" i="4" s="1"/>
  <c r="R103" i="4" s="1"/>
  <c r="R104" i="4" s="1"/>
  <c r="S121" i="4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O88" i="4"/>
  <c r="K88" i="4"/>
  <c r="J88" i="4"/>
  <c r="O87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<sst xmlns="http://schemas.openxmlformats.org/spreadsheetml/2006/main" count="594" uniqueCount="149">
  <si>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</si>
  <si>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</si>
  <si>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</si>
  <si>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</si>
  <si>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</si>
  <si>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</si>
  <si>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</si>
  <si>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</si>
  <si>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</si>
  <si>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</si>
  <si>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</si>
  <si>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</si>
  <si>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</si>
  <si>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</si>
  <si>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</si>
  <si>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</si>
  <si>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</si>
  <si>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</si>
  <si>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</si>
  <si>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</si>
  <si>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</si>
  <si>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</si>
  <si>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</si>
  <si>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</si>
  <si>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</si>
  <si>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</si>
  <si>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</si>
  <si>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</si>
  <si>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</si>
  <si>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</si>
  <si>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</si>
  <si>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</si>
  <si>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</si>
  <si>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</si>
  <si>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</si>
  <si>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</si>
  <si>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</si>
  <si>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</si>
  <si>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</si>
  <si>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</si>
  <si>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</si>
  <si>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</si>
  <si>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</si>
  <si>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</si>
  <si>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</si>
  <si>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</si>
  <si>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</si>
  <si>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</si>
  <si>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</si>
  <si>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</si>
  <si>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</si>
  <si>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</si>
  <si>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</si>
  <si>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</si>
  <si>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</si>
  <si>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</si>
  <si>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</si>
  <si>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</si>
  <si>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</si>
  <si>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</si>
  <si>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</si>
  <si>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</si>
  <si>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</si>
  <si>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</si>
  <si>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</si>
  <si>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</si>
  <si>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</si>
  <si>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</si>
  <si>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</si>
  <si>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</si>
  <si>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</si>
  <si>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</si>
  <si>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</si>
  <si>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</si>
  <si>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</si>
  <si>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</si>
  <si>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</si>
  <si>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</si>
  <si>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</si>
  <si>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</si>
  <si>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</si>
  <si>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</si>
  <si>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</si>
  <si>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</si>
  <si>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</si>
  <si>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</si>
  <si>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</si>
  <si>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</si>
  <si>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</si>
  <si>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</si>
  <si>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</si>
  <si>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</si>
  <si>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</si>
  <si>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</si>
  <si>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</si>
  <si>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</si>
  <si>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</si>
  <si>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</si>
  <si>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</si>
  <si>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</si>
  <si>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</si>
  <si>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</si>
  <si>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</si>
  <si>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</si>
  <si>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</si>
  <si>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</si>
  <si>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</si>
  <si>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</si>
  <si>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</si>
  <si>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</si>
  <si>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</si>
  <si>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</si>
  <si>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</si>
  <si>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</si>
  <si>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</si>
  <si>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</si>
  <si>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</si>
  <si>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</si>
  <si>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</si>
  <si>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</si>
  <si>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</si>
  <si>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</si>
  <si>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</si>
  <si>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</si>
  <si>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</si>
  <si>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</si>
  <si>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Count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</si>
  <si>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</si>
  <si>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</si>
  <si>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</si>
  <si>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</si>
  <si>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</si>
  <si>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</si>
  <si>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</si>
  <si>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</si>
  <si>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</si>
  <si>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</si>
  <si>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</si>
  <si>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</si>
  <si>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</si>
  <si>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</si>
  <si>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</si>
  <si>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0 Epoch</t>
  </si>
  <si>
    <t>100 Epoch</t>
  </si>
  <si>
    <t>40 Epoch</t>
  </si>
  <si>
    <t>10 Epoch</t>
  </si>
  <si>
    <t>Avoid Catastrophic Forgetting</t>
  </si>
  <si>
    <t>???</t>
  </si>
  <si>
    <t>50 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</si>
</sst>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N84" zoomScale="70" zoomScaleNormal="70" workbookViewId="0">
      <selection activeCell="P93" sqref="P93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126</v>
      </c>
    </row>
    <row r="3" spans="2:23" ht="22.5" thickTop="1" thickBot="1" x14ac:dyDescent="0.4">
      <c r="B3" s="13"/>
      <c r="C3" s="14" t="s">
        <v>23</v>
      </c>
      <c r="D3" s="14">
        <f>72</f>
        <v>72</v>
      </c>
    </row>
    <row r="4" spans="2:23" ht="22.5" thickTop="1" thickBot="1" x14ac:dyDescent="0.4">
      <c r="B4" s="12"/>
      <c r="C4" s="14" t="s">
        <v>24</v>
      </c>
      <c r="D4" s="14" t="s">
        <v>147</v>
      </c>
    </row>
    <row r="5" spans="2:23" ht="22.5" thickTop="1" thickBot="1" x14ac:dyDescent="0.4">
      <c r="B5" s="11"/>
      <c r="C5" s="14" t="s">
        <v>25</v>
      </c>
      <c r="D5" s="14" t="s">
        <v>147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3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145</v>
      </c>
      <c r="U33" s="2" t="s">
        <v>13</v>
      </c>
      <c r="V33" s="2" t="s">
        <v>15</v>
      </c>
      <c r="W33" s="2" t="s">
        <v>146</v>
      </c>
    </row>
    <row r="34" spans="6:23" ht="64.5" thickTop="1" thickBot="1" x14ac:dyDescent="0.4">
      <c r="F34" s="15"/>
      <c r="G34" s="23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145</v>
      </c>
      <c r="U34" s="2" t="s">
        <v>13</v>
      </c>
      <c r="V34" s="2" t="s">
        <v>15</v>
      </c>
      <c r="W34" s="2" t="s">
        <v>146</v>
      </c>
    </row>
    <row r="35" spans="6:23" ht="64.5" thickTop="1" thickBot="1" x14ac:dyDescent="0.4">
      <c r="F35" s="15"/>
      <c r="G35" s="23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145</v>
      </c>
      <c r="U35" s="2" t="s">
        <v>13</v>
      </c>
      <c r="V35" s="2" t="s">
        <v>15</v>
      </c>
      <c r="W35" s="2" t="s">
        <v>146</v>
      </c>
    </row>
    <row r="36" spans="6:23" ht="64.5" thickTop="1" thickBot="1" x14ac:dyDescent="0.4">
      <c r="F36" s="15"/>
      <c r="G36" s="23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145</v>
      </c>
      <c r="U36" s="2" t="s">
        <v>13</v>
      </c>
      <c r="V36" s="2" t="s">
        <v>15</v>
      </c>
      <c r="W36" s="2" t="s">
        <v>146</v>
      </c>
    </row>
    <row r="37" spans="6:23" ht="64.5" thickTop="1" thickBot="1" x14ac:dyDescent="0.4">
      <c r="F37" s="15"/>
      <c r="G37" s="23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145</v>
      </c>
      <c r="U37" s="2" t="s">
        <v>13</v>
      </c>
      <c r="V37" s="2" t="s">
        <v>15</v>
      </c>
      <c r="W37" s="2" t="s">
        <v>146</v>
      </c>
    </row>
    <row r="38" spans="6:23" ht="64.5" thickTop="1" thickBot="1" x14ac:dyDescent="0.4">
      <c r="F38" s="15"/>
      <c r="G38" s="23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145</v>
      </c>
      <c r="U38" s="2" t="s">
        <v>13</v>
      </c>
      <c r="V38" s="2" t="s">
        <v>15</v>
      </c>
      <c r="W38" s="2" t="s">
        <v>146</v>
      </c>
    </row>
    <row r="39" spans="6:23" ht="64.5" thickTop="1" thickBot="1" x14ac:dyDescent="0.4">
      <c r="F39" s="15"/>
      <c r="G39" s="23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145</v>
      </c>
      <c r="U39" s="2" t="s">
        <v>13</v>
      </c>
      <c r="V39" s="2" t="s">
        <v>15</v>
      </c>
      <c r="W39" s="2" t="s">
        <v>146</v>
      </c>
    </row>
    <row r="40" spans="6:23" ht="64.5" thickTop="1" thickBot="1" x14ac:dyDescent="0.4">
      <c r="F40" s="15"/>
      <c r="G40" s="23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145</v>
      </c>
      <c r="U40" s="2" t="s">
        <v>13</v>
      </c>
      <c r="V40" s="2" t="s">
        <v>15</v>
      </c>
      <c r="W40" s="2" t="s">
        <v>146</v>
      </c>
    </row>
    <row r="41" spans="6:23" ht="64.5" thickTop="1" thickBot="1" x14ac:dyDescent="0.4">
      <c r="F41" s="15"/>
      <c r="G41" s="23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145</v>
      </c>
      <c r="U41" s="2" t="s">
        <v>13</v>
      </c>
      <c r="V41" s="2" t="s">
        <v>15</v>
      </c>
      <c r="W41" s="2" t="s">
        <v>146</v>
      </c>
    </row>
    <row r="42" spans="6:23" ht="64.5" thickTop="1" thickBot="1" x14ac:dyDescent="0.4">
      <c r="F42" s="15"/>
      <c r="G42" s="23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145</v>
      </c>
      <c r="U42" s="2" t="s">
        <v>13</v>
      </c>
      <c r="V42" s="2" t="s">
        <v>15</v>
      </c>
      <c r="W42" s="2" t="s">
        <v>146</v>
      </c>
    </row>
    <row r="43" spans="6:23" ht="64.5" thickTop="1" thickBot="1" x14ac:dyDescent="0.4">
      <c r="F43" s="15"/>
      <c r="G43" s="23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145</v>
      </c>
      <c r="U43" s="2" t="s">
        <v>13</v>
      </c>
      <c r="V43" s="7" t="s">
        <v>15</v>
      </c>
      <c r="W43" s="2" t="s">
        <v>146</v>
      </c>
    </row>
    <row r="44" spans="6:23" ht="64.5" thickTop="1" thickBot="1" x14ac:dyDescent="0.4">
      <c r="F44" s="15"/>
      <c r="G44" s="23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145</v>
      </c>
      <c r="U44" s="2" t="s">
        <v>13</v>
      </c>
      <c r="V44" s="2" t="s">
        <v>15</v>
      </c>
      <c r="W44" s="2" t="s">
        <v>146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23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3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23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23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23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23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23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23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3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3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3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3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23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3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23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23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23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23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23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23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3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3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3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3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3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3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3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3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3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3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3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3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3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3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3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3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19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12</v>
      </c>
      <c r="U85" s="2" t="s">
        <v>142</v>
      </c>
      <c r="V85" s="2" t="s">
        <v>15</v>
      </c>
      <c r="W85" s="2" t="s">
        <v>17</v>
      </c>
    </row>
    <row r="86" spans="6:23" ht="22.5" thickTop="1" thickBot="1" x14ac:dyDescent="0.4">
      <c r="F86" s="15"/>
      <c r="G86" s="19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(128,6,6), trl:: (128,6,6,10)"</f>
        <v>tcl:: (128,6,6), trl:: (128,6,6,10)</v>
      </c>
      <c r="O86" s="2" t="b">
        <f xml:space="preserve"> FALSE</f>
        <v>0</v>
      </c>
      <c r="P86" s="2" t="str">
        <f>"(128,6,6) --&gt; (128,6,6) --&gt; (10)"</f>
        <v>(128,6,6) --&gt; (128,6,6) --&gt; (10)</v>
      </c>
      <c r="Q86" s="10">
        <f>79092</f>
        <v>79092</v>
      </c>
      <c r="R86" s="10">
        <f xml:space="preserve"> R85 - Q85 + Q86</f>
        <v>172788</v>
      </c>
      <c r="S86" s="2">
        <f xml:space="preserve"> (1-(Q86/Q85))*100</f>
        <v>98.327817320828956</v>
      </c>
      <c r="T86" s="2" t="s">
        <v>145</v>
      </c>
      <c r="U86" s="2" t="s">
        <v>13</v>
      </c>
      <c r="V86" s="2" t="s">
        <v>15</v>
      </c>
      <c r="W86" s="2" t="s">
        <v>17</v>
      </c>
    </row>
    <row r="87" spans="6:23" ht="22.5" thickTop="1" thickBot="1" x14ac:dyDescent="0.4">
      <c r="F87" s="15"/>
      <c r="G87" s="19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"Reshape+TCL+TRL"</f>
        <v>Reshape+TCL+TRL</v>
      </c>
      <c r="N87" s="2" t="str">
        <f>"tcl::(2,2,2,64,3,3), trl:: (1,1,1,64,3,3,10)"</f>
        <v>tcl::(2,2,2,64,3,3), trl:: (1,1,1,64,3,3,10)</v>
      </c>
      <c r="O87" s="2" t="str">
        <f xml:space="preserve"> "(2,2,2)-type1"</f>
        <v>(2,2,2)-type1</v>
      </c>
      <c r="P87" s="2" t="str">
        <f>"(128,6,6) --&gt; (2,2,2,64,3,3) --&gt; (2,2,2,64,3,3) --&gt; (10)"</f>
        <v>(128,6,6) --&gt; (2,2,2,64,3,3) --&gt; (2,2,2,64,3,3) --&gt; (10)</v>
      </c>
      <c r="Q87" s="10">
        <f>14106</f>
        <v>14106</v>
      </c>
      <c r="R87" s="10">
        <f>R86 -Q86 + Q87</f>
        <v>107802</v>
      </c>
      <c r="S87" s="2">
        <f xml:space="preserve"> (1-(Q87/Q85))*100</f>
        <v>99.701767449648685</v>
      </c>
      <c r="T87" s="2" t="s">
        <v>145</v>
      </c>
      <c r="U87" s="2" t="s">
        <v>13</v>
      </c>
      <c r="V87" s="2" t="s">
        <v>15</v>
      </c>
      <c r="W87" s="2" t="s">
        <v>17</v>
      </c>
    </row>
    <row r="88" spans="6:23" ht="22.5" thickTop="1" thickBot="1" x14ac:dyDescent="0.4">
      <c r="F88" s="15"/>
      <c r="G88" s="19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"Reshape+TCL+TRL"</f>
        <v>Reshape+TCL+TRL</v>
      </c>
      <c r="N88" s="2" t="str">
        <f>"tcl::(2,2,2,64,3,3), trl:: (1,1,1,64,3,3,10)"</f>
        <v>tcl::(2,2,2,64,3,3), trl:: (1,1,1,64,3,3,10)</v>
      </c>
      <c r="O88" s="2" t="str">
        <f xml:space="preserve"> "(2,2,2)-type2"</f>
        <v>(2,2,2)-type2</v>
      </c>
      <c r="P88" s="2" t="str">
        <f>"(128,6,6) --&gt; (2,2,2,64,3,3) --&gt; (2,2,2,64,3,3) --&gt; (10)"</f>
        <v>(128,6,6) --&gt; (2,2,2,64,3,3) --&gt; (2,2,2,64,3,3) --&gt; (10)</v>
      </c>
      <c r="Q88" s="10">
        <f>14106</f>
        <v>14106</v>
      </c>
      <c r="R88" s="10">
        <f xml:space="preserve"> R87 - Q87 + Q88</f>
        <v>107802</v>
      </c>
      <c r="S88" s="2">
        <f xml:space="preserve"> (1-(Q88/Q85))*100</f>
        <v>99.701767449648685</v>
      </c>
      <c r="T88" s="2" t="s">
        <v>145</v>
      </c>
      <c r="U88" s="2" t="s">
        <v>13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24" t="s">
        <v>103</v>
      </c>
      <c r="I89" s="25" t="str">
        <f t="shared" si="32"/>
        <v>CNN</v>
      </c>
      <c r="J89" s="25" t="str">
        <f t="shared" si="30"/>
        <v>MNIST</v>
      </c>
      <c r="K89" s="25" t="str">
        <f t="shared" si="31"/>
        <v>(3,192,192)</v>
      </c>
      <c r="L89" s="25">
        <v>10</v>
      </c>
      <c r="M89" s="25" t="str">
        <f>"Reshape+TCL+TRL"</f>
        <v>Reshape+TCL+TRL</v>
      </c>
      <c r="N89" s="25" t="str">
        <f>"tcl::(2,1,1,10,2,2), trl:: (1,1,1,5,1,1,10)"</f>
        <v>tcl::(2,1,1,10,2,2), trl:: (1,1,1,5,1,1,10)</v>
      </c>
      <c r="O89" s="25" t="str">
        <f xml:space="preserve"> "(8,2,2)-type1"</f>
        <v>(8,2,2)-type1</v>
      </c>
      <c r="P89" s="25" t="str">
        <f>"(128,6,6) --&gt; (8,2,2,16,3,3) --&gt; (2,1,1,10,2,2) --&gt; (10)"</f>
        <v>(128,6,6) --&gt; (8,2,2,16,3,3) --&gt; (2,1,1,10,2,2) --&gt; (10)</v>
      </c>
      <c r="Q89" s="26">
        <f>192 + 208</f>
        <v>400</v>
      </c>
      <c r="R89" s="26">
        <f>R88 -Q88+ Q89</f>
        <v>94096</v>
      </c>
      <c r="S89" s="25">
        <f xml:space="preserve"> (1-(Q89/Q85))*100</f>
        <v>99.991543100798211</v>
      </c>
      <c r="T89" s="25" t="s">
        <v>13</v>
      </c>
      <c r="U89" s="25" t="s">
        <v>144</v>
      </c>
      <c r="V89" s="25" t="s">
        <v>15</v>
      </c>
      <c r="W89" s="25" t="s">
        <v>17</v>
      </c>
    </row>
    <row r="90" spans="6:23" ht="22.5" thickTop="1" thickBot="1" x14ac:dyDescent="0.4">
      <c r="F90" s="15"/>
      <c r="G90" s="20">
        <v>1</v>
      </c>
      <c r="H90" s="24" t="s">
        <v>104</v>
      </c>
      <c r="I90" s="25" t="str">
        <f t="shared" si="32"/>
        <v>CNN</v>
      </c>
      <c r="J90" s="25" t="str">
        <f t="shared" si="30"/>
        <v>MNIST</v>
      </c>
      <c r="K90" s="25" t="str">
        <f t="shared" si="31"/>
        <v>(3,192,192)</v>
      </c>
      <c r="L90" s="25">
        <v>10</v>
      </c>
      <c r="M90" s="25" t="str">
        <f>"Reshape+TCL+TRL"</f>
        <v>Reshape+TCL+TRL</v>
      </c>
      <c r="N90" s="25" t="str">
        <f>"tcl::(2,1,1,10,2,2), trl:: (1,1,1,5,1,1,10)"</f>
        <v>tcl::(2,1,1,10,2,2), trl:: (1,1,1,5,1,1,10)</v>
      </c>
      <c r="O90" s="25" t="str">
        <f xml:space="preserve"> "(8,2,2)-type2"</f>
        <v>(8,2,2)-type2</v>
      </c>
      <c r="P90" s="25" t="str">
        <f>"(128,6,6) --&gt; (8,2,2,16,3,3) --&gt; (2,1,1,10,2,2) --&gt; (10)"</f>
        <v>(128,6,6) --&gt; (8,2,2,16,3,3) --&gt; (2,1,1,10,2,2) --&gt; (10)</v>
      </c>
      <c r="Q90" s="26">
        <f>192 + 208</f>
        <v>400</v>
      </c>
      <c r="R90" s="26">
        <f t="shared" ref="R90" si="33" xml:space="preserve"> R89 - Q89 + Q90</f>
        <v>94096</v>
      </c>
      <c r="S90" s="25">
        <f xml:space="preserve"> (1-(Q90/Q85))*100</f>
        <v>99.991543100798211</v>
      </c>
      <c r="T90" s="25" t="s">
        <v>13</v>
      </c>
      <c r="U90" s="25" t="s">
        <v>144</v>
      </c>
      <c r="V90" s="25" t="s">
        <v>15</v>
      </c>
      <c r="W90" s="25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19">
        <v>1</v>
      </c>
      <c r="H92" s="5" t="s">
        <v>105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148</v>
      </c>
      <c r="U92" s="2" t="s">
        <v>142</v>
      </c>
      <c r="V92" s="2" t="s">
        <v>15</v>
      </c>
      <c r="W92" s="2" t="s">
        <v>17</v>
      </c>
    </row>
    <row r="93" spans="6:23" ht="22.5" thickTop="1" thickBot="1" x14ac:dyDescent="0.4">
      <c r="F93" s="15"/>
      <c r="G93" s="19">
        <v>1</v>
      </c>
      <c r="H93" s="5" t="s">
        <v>106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(128,6,6), trl:: (128,6,6,10)"</f>
        <v>tcl:: (128,6,6), trl:: (128,6,6,10)</v>
      </c>
      <c r="O93" s="2" t="b">
        <f xml:space="preserve"> FALSE</f>
        <v>0</v>
      </c>
      <c r="P93" s="2" t="str">
        <f>"(128,6,6) --&gt; (128,6,6) --&gt; (10)"</f>
        <v>(128,6,6) --&gt; (128,6,6) --&gt; (10)</v>
      </c>
      <c r="Q93" s="10">
        <f>79092</f>
        <v>79092</v>
      </c>
      <c r="R93" s="10">
        <f xml:space="preserve"> R92 - Q92 + Q93</f>
        <v>172788</v>
      </c>
      <c r="S93" s="2">
        <f xml:space="preserve"> (1-(Q93/Q92))*100</f>
        <v>98.327817320828956</v>
      </c>
      <c r="T93" s="2" t="s">
        <v>145</v>
      </c>
      <c r="U93" s="2" t="s">
        <v>145</v>
      </c>
      <c r="V93" s="2" t="s">
        <v>15</v>
      </c>
      <c r="W93" s="2" t="s">
        <v>17</v>
      </c>
    </row>
    <row r="94" spans="6:23" ht="22.5" thickTop="1" thickBot="1" x14ac:dyDescent="0.4">
      <c r="F94" s="15"/>
      <c r="G94" s="19">
        <v>1</v>
      </c>
      <c r="H94" s="5" t="s">
        <v>107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"Reshape+TCL+TRL"</f>
        <v>Reshape+TCL+TRL</v>
      </c>
      <c r="N94" s="2" t="str">
        <f>"tcl::(2,2,2,64,3,3), trl:: (1,1,1,64,3,3,10)"</f>
        <v>tcl::(2,2,2,64,3,3), trl:: (1,1,1,64,3,3,10)</v>
      </c>
      <c r="O94" s="2" t="str">
        <f xml:space="preserve"> "(2,2,2)-type1"</f>
        <v>(2,2,2)-type1</v>
      </c>
      <c r="P94" s="2" t="str">
        <f>"(128,6,6) --&gt; (2,2,2,64,3,3) --&gt; (2,2,2,64,3,3) --&gt; (10)"</f>
        <v>(128,6,6) --&gt; (2,2,2,64,3,3) --&gt; (2,2,2,64,3,3) --&gt; (10)</v>
      </c>
      <c r="Q94" s="10">
        <f>14106</f>
        <v>14106</v>
      </c>
      <c r="R94" s="10">
        <f>R93 -Q93 + Q94</f>
        <v>107802</v>
      </c>
      <c r="S94" s="2">
        <f xml:space="preserve"> (1-(Q94/Q92))*100</f>
        <v>99.701767449648685</v>
      </c>
      <c r="T94" s="2" t="s">
        <v>145</v>
      </c>
      <c r="U94" s="2" t="s">
        <v>145</v>
      </c>
      <c r="V94" s="2" t="s">
        <v>15</v>
      </c>
      <c r="W94" s="2" t="s">
        <v>17</v>
      </c>
    </row>
    <row r="95" spans="6:23" ht="22.5" thickTop="1" thickBot="1" x14ac:dyDescent="0.4">
      <c r="F95" s="15"/>
      <c r="G95" s="19">
        <v>1</v>
      </c>
      <c r="H95" s="5" t="s">
        <v>108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"Reshape+TCL+TRL"</f>
        <v>Reshape+TCL+TRL</v>
      </c>
      <c r="N95" s="2" t="str">
        <f>"tcl::(2,2,2,64,3,3), trl:: (1,1,1,64,3,3,10)"</f>
        <v>tcl::(2,2,2,64,3,3), trl:: (1,1,1,64,3,3,10)</v>
      </c>
      <c r="O95" s="2" t="str">
        <f xml:space="preserve"> "(2,2,2)-type2"</f>
        <v>(2,2,2)-type2</v>
      </c>
      <c r="P95" s="2" t="str">
        <f>"(128,6,6) --&gt; (2,2,2,64,3,3) --&gt; (2,2,2,64,3,3) --&gt; (10)"</f>
        <v>(128,6,6) --&gt; (2,2,2,64,3,3) --&gt; (2,2,2,64,3,3) --&gt; (10)</v>
      </c>
      <c r="Q95" s="10">
        <f>14106</f>
        <v>14106</v>
      </c>
      <c r="R95" s="10">
        <f xml:space="preserve"> R94 - Q94 + Q95</f>
        <v>107802</v>
      </c>
      <c r="S95" s="2">
        <f xml:space="preserve"> (1-(Q95/Q92))*100</f>
        <v>99.701767449648685</v>
      </c>
      <c r="T95" s="2" t="s">
        <v>145</v>
      </c>
      <c r="U95" s="2" t="s">
        <v>145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24" t="s">
        <v>109</v>
      </c>
      <c r="I96" s="25" t="str">
        <f t="shared" si="35"/>
        <v>CNN</v>
      </c>
      <c r="J96" s="25" t="str">
        <f t="shared" si="34"/>
        <v>CIFAR10</v>
      </c>
      <c r="K96" s="25" t="str">
        <f t="shared" si="31"/>
        <v>(3,192,192)</v>
      </c>
      <c r="L96" s="25">
        <v>10</v>
      </c>
      <c r="M96" s="25" t="str">
        <f>"Reshape+TCL+TRL"</f>
        <v>Reshape+TCL+TRL</v>
      </c>
      <c r="N96" s="25" t="str">
        <f>"tcl::(2,1,1,10,2,2), trl:: (1,1,1,5,1,1,10)"</f>
        <v>tcl::(2,1,1,10,2,2), trl:: (1,1,1,5,1,1,10)</v>
      </c>
      <c r="O96" s="25" t="str">
        <f xml:space="preserve"> "(8,2,2)-type1"</f>
        <v>(8,2,2)-type1</v>
      </c>
      <c r="P96" s="25" t="str">
        <f>"(128,6,6) --&gt; (8,2,2,16,3,3) --&gt; (2,1,1,10,2,2) --&gt; (10)"</f>
        <v>(128,6,6) --&gt; (8,2,2,16,3,3) --&gt; (2,1,1,10,2,2) --&gt; (10)</v>
      </c>
      <c r="Q96" s="26">
        <f>192 + 208</f>
        <v>400</v>
      </c>
      <c r="R96" s="26">
        <f>R95 -Q95+ Q96</f>
        <v>94096</v>
      </c>
      <c r="S96" s="25">
        <f xml:space="preserve"> (1-(Q96/Q92))*100</f>
        <v>99.991543100798211</v>
      </c>
      <c r="T96" s="25" t="s">
        <v>13</v>
      </c>
      <c r="U96" s="25" t="s">
        <v>144</v>
      </c>
      <c r="V96" s="25" t="s">
        <v>15</v>
      </c>
      <c r="W96" s="25" t="s">
        <v>17</v>
      </c>
    </row>
    <row r="97" spans="6:23" ht="22.5" thickTop="1" thickBot="1" x14ac:dyDescent="0.4">
      <c r="F97" s="15"/>
      <c r="G97" s="20">
        <v>1</v>
      </c>
      <c r="H97" s="24" t="s">
        <v>110</v>
      </c>
      <c r="I97" s="25" t="str">
        <f t="shared" si="35"/>
        <v>CNN</v>
      </c>
      <c r="J97" s="25" t="str">
        <f t="shared" si="34"/>
        <v>CIFAR10</v>
      </c>
      <c r="K97" s="25" t="str">
        <f t="shared" si="31"/>
        <v>(3,192,192)</v>
      </c>
      <c r="L97" s="25">
        <v>10</v>
      </c>
      <c r="M97" s="25" t="str">
        <f>"Reshape+TCL+TRL"</f>
        <v>Reshape+TCL+TRL</v>
      </c>
      <c r="N97" s="25" t="str">
        <f>"tcl::(2,1,1,10,2,2), trl:: (1,1,1,5,1,1,10)"</f>
        <v>tcl::(2,1,1,10,2,2), trl:: (1,1,1,5,1,1,10)</v>
      </c>
      <c r="O97" s="25" t="str">
        <f xml:space="preserve"> "(8,2,2)-type2"</f>
        <v>(8,2,2)-type2</v>
      </c>
      <c r="P97" s="25" t="str">
        <f>"(128,6,6) --&gt; (8,2,2,16,3,3) --&gt; (2,1,1,10,2,2) --&gt; (10)"</f>
        <v>(128,6,6) --&gt; (8,2,2,16,3,3) --&gt; (2,1,1,10,2,2) --&gt; (10)</v>
      </c>
      <c r="Q97" s="26">
        <f>192 + 208</f>
        <v>400</v>
      </c>
      <c r="R97" s="26">
        <f t="shared" ref="R97" si="36" xml:space="preserve"> R96 - Q96 + Q97</f>
        <v>94096</v>
      </c>
      <c r="S97" s="25">
        <f xml:space="preserve"> (1-(Q97/Q92))*100</f>
        <v>99.991543100798211</v>
      </c>
      <c r="T97" s="25" t="s">
        <v>13</v>
      </c>
      <c r="U97" s="25" t="s">
        <v>144</v>
      </c>
      <c r="V97" s="25" t="s">
        <v>15</v>
      </c>
      <c r="W97" s="25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0">
        <v>1</v>
      </c>
      <c r="H99" s="5" t="s">
        <v>111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143</v>
      </c>
      <c r="U99" s="2" t="s">
        <v>142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0">
        <v>1</v>
      </c>
      <c r="H100" s="5" t="s">
        <v>112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(100,4,4), trl:: (70,2,2,200)"</f>
        <v>tcl:: (100,4,4), trl:: (70,2,2,200)</v>
      </c>
      <c r="O100" s="2" t="b">
        <f xml:space="preserve"> FALSE</f>
        <v>0</v>
      </c>
      <c r="P100" s="2" t="str">
        <f>"(128,6,6) --&gt; (100,4,4) --&gt; (200)"</f>
        <v>(128,6,6) --&gt; (100,4,4) --&gt; (200)</v>
      </c>
      <c r="Q100" s="10">
        <f>12848 + 103016</f>
        <v>115864</v>
      </c>
      <c r="R100" s="10">
        <f xml:space="preserve"> R99 - Q99 + Q100</f>
        <v>209560</v>
      </c>
      <c r="S100" s="2">
        <f xml:space="preserve"> (1-(Q100/Q99))*100</f>
        <v>97.647248029084906</v>
      </c>
      <c r="T100" s="2" t="s">
        <v>13</v>
      </c>
      <c r="U100" s="2" t="s">
        <v>144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0">
        <v>1</v>
      </c>
      <c r="H101" s="5" t="s">
        <v>113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"Reshape+TCL+TRL"</f>
        <v>Reshape+TCL+TRL</v>
      </c>
      <c r="N101" s="2" t="str">
        <f>"tcl::(1,1,1,50,2,2), trl:: (1,1,1,30,1,1,100)"</f>
        <v>tcl::(1,1,1,50,2,2), trl:: (1,1,1,30,1,1,100)</v>
      </c>
      <c r="O101" s="2" t="str">
        <f xml:space="preserve"> "(2,2,2)-type1"</f>
        <v>(2,2,2)-type1</v>
      </c>
      <c r="P101" s="2" t="str">
        <f>"(128,6,6) --&gt; (2,2,2,64,3,3) --&gt; (1,1,1,50,2,2) --&gt; (200)"</f>
        <v>(128,6,6) --&gt; (2,2,2,64,3,3) --&gt; (1,1,1,50,2,2) --&gt; (200)</v>
      </c>
      <c r="Q101" s="10">
        <f>3218 + 24507</f>
        <v>27725</v>
      </c>
      <c r="R101" s="10">
        <f>R100 -Q100 + Q101</f>
        <v>121421</v>
      </c>
      <c r="S101" s="2">
        <f xml:space="preserve"> (1-(Q101/Q99))*100</f>
        <v>99.437011941641742</v>
      </c>
      <c r="T101" s="2" t="s">
        <v>13</v>
      </c>
      <c r="U101" s="2" t="s">
        <v>144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0">
        <v>1</v>
      </c>
      <c r="H102" s="5" t="s">
        <v>114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"Reshape+TCL+TRL"</f>
        <v>Reshape+TCL+TRL</v>
      </c>
      <c r="N102" s="2" t="str">
        <f>"tcl::(1,1,1,50,2,2), trl:: (1,1,1,30,1,1,100)"</f>
        <v>tcl::(1,1,1,50,2,2), trl:: (1,1,1,30,1,1,100)</v>
      </c>
      <c r="O102" s="2" t="str">
        <f xml:space="preserve"> "(2,2,2)-type2"</f>
        <v>(2,2,2)-type2</v>
      </c>
      <c r="P102" s="2" t="str">
        <f>"(128,6,6) --&gt; (2,2,2,64,3,3) --&gt; (1,1,1,50,2,2) --&gt; (200)"</f>
        <v>(128,6,6) --&gt; (2,2,2,64,3,3) --&gt; (1,1,1,50,2,2) --&gt; (200)</v>
      </c>
      <c r="Q102" s="10">
        <f>3218 + 24507</f>
        <v>27725</v>
      </c>
      <c r="R102" s="10">
        <f xml:space="preserve"> R101 - Q101 + Q102</f>
        <v>121421</v>
      </c>
      <c r="S102" s="2">
        <f xml:space="preserve"> (1-(Q102/Q99))*100</f>
        <v>99.437011941641742</v>
      </c>
      <c r="T102" s="2" t="s">
        <v>13</v>
      </c>
      <c r="U102" s="2" t="s">
        <v>144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5" t="s">
        <v>115</v>
      </c>
      <c r="I103" s="2" t="str">
        <f t="shared" si="37"/>
        <v>CNN</v>
      </c>
      <c r="J103" s="2" t="str">
        <f t="shared" si="38"/>
        <v>TINY</v>
      </c>
      <c r="K103" s="2" t="str">
        <f t="shared" si="31"/>
        <v>(3,192,192)</v>
      </c>
      <c r="L103" s="2">
        <v>200</v>
      </c>
      <c r="M103" s="2" t="str">
        <f>"Reshape+TCL+TRL"</f>
        <v>Reshape+TCL+TRL</v>
      </c>
      <c r="N103" s="2" t="str">
        <f>"tcl::(2,1,1,10,2,2), trl:: (1,1,1,5,1,1,50)"</f>
        <v>tcl::(2,1,1,10,2,2), trl:: (1,1,1,5,1,1,50)</v>
      </c>
      <c r="O103" s="2" t="str">
        <f xml:space="preserve"> "(8,2,2)-type1"</f>
        <v>(8,2,2)-type1</v>
      </c>
      <c r="P103" s="2" t="str">
        <f>"(128,6,6) --&gt; (8,2,2,16,3,3) --&gt; (2,1,1,10,2,2) --&gt; (200)"</f>
        <v>(128,6,6) --&gt; (8,2,2,16,3,3) --&gt; (2,1,1,10,2,2) --&gt; (200)</v>
      </c>
      <c r="Q103" s="10">
        <f>192 + 10308</f>
        <v>10500</v>
      </c>
      <c r="R103" s="10">
        <f>R102 -Q102+ Q103</f>
        <v>104196</v>
      </c>
      <c r="S103" s="2">
        <f xml:space="preserve"> (1-(Q103/Q99))*100</f>
        <v>99.786785406212388</v>
      </c>
      <c r="T103" s="2" t="s">
        <v>13</v>
      </c>
      <c r="U103" s="2" t="s">
        <v>144</v>
      </c>
      <c r="V103" s="2" t="s">
        <v>15</v>
      </c>
      <c r="W103" s="2" t="s">
        <v>17</v>
      </c>
    </row>
    <row r="104" spans="6:23" ht="22.5" thickTop="1" thickBot="1" x14ac:dyDescent="0.4">
      <c r="F104" s="15"/>
      <c r="G104" s="20">
        <v>1</v>
      </c>
      <c r="H104" s="5" t="s">
        <v>116</v>
      </c>
      <c r="I104" s="2" t="str">
        <f t="shared" si="37"/>
        <v>CNN</v>
      </c>
      <c r="J104" s="2" t="str">
        <f t="shared" si="38"/>
        <v>TINY</v>
      </c>
      <c r="K104" s="2" t="str">
        <f t="shared" si="31"/>
        <v>(3,192,192)</v>
      </c>
      <c r="L104" s="2">
        <v>200</v>
      </c>
      <c r="M104" s="2" t="str">
        <f>"Reshape+TCL+TRL"</f>
        <v>Reshape+TCL+TRL</v>
      </c>
      <c r="N104" s="2" t="str">
        <f>"tcl::(2,1,1,10,2,2), trl:: (1,1,1,5,1,1,50)"</f>
        <v>tcl::(2,1,1,10,2,2), trl:: (1,1,1,5,1,1,50)</v>
      </c>
      <c r="O104" s="2" t="str">
        <f xml:space="preserve"> "(8,2,2)-type2"</f>
        <v>(8,2,2)-type2</v>
      </c>
      <c r="P104" s="2" t="str">
        <f>"(128,6,6) --&gt; (8,2,2,16,3,3) --&gt; (2,1,1,10,2,2) --&gt; (200)"</f>
        <v>(128,6,6) --&gt; (8,2,2,16,3,3) --&gt; (2,1,1,10,2,2) --&gt; (200)</v>
      </c>
      <c r="Q104" s="10">
        <f>192 + 10308</f>
        <v>10500</v>
      </c>
      <c r="R104" s="10">
        <f t="shared" ref="R104" si="39" xml:space="preserve"> R103 - Q103 + Q104</f>
        <v>104196</v>
      </c>
      <c r="S104" s="2">
        <f xml:space="preserve"> (1-(Q104/Q99))*100</f>
        <v>99.786785406212388</v>
      </c>
      <c r="T104" s="2" t="s">
        <v>13</v>
      </c>
      <c r="U104" s="2" t="s">
        <v>144</v>
      </c>
      <c r="V104" s="2" t="s">
        <v>15</v>
      </c>
      <c r="W104" s="2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5" t="s">
        <v>117</v>
      </c>
      <c r="I106" s="2" t="str">
        <f xml:space="preserve"> "VGG19"</f>
        <v>VGG19</v>
      </c>
      <c r="J106" s="2" t="str">
        <f t="shared" ref="J106:J111" si="40" xml:space="preserve"> "MNIST"</f>
        <v>MNIST</v>
      </c>
      <c r="K106" s="2" t="str">
        <f t="shared" si="31"/>
        <v>(3,192,192)</v>
      </c>
      <c r="L106" s="2">
        <v>10</v>
      </c>
      <c r="M106" s="2" t="str">
        <f xml:space="preserve"> "Linear"</f>
        <v>Linear</v>
      </c>
      <c r="N106" s="2" t="s">
        <v>9</v>
      </c>
      <c r="O106" s="2" t="b">
        <f xml:space="preserve"> FALSE</f>
        <v>0</v>
      </c>
      <c r="P106" s="2" t="str">
        <f>"(512,6,6) --&gt; (4096) --&gt; (4096) --&gt; (10)"</f>
        <v>(512,6,6) --&gt; (4096) --&gt; (4096) --&gt; (10)</v>
      </c>
      <c r="Q106" s="10">
        <f>92323850</f>
        <v>92323850</v>
      </c>
      <c r="R106" s="10">
        <f>112348234</f>
        <v>112348234</v>
      </c>
      <c r="S106" s="2" t="s">
        <v>18</v>
      </c>
      <c r="T106" s="2" t="s">
        <v>13</v>
      </c>
      <c r="U106" s="2" t="s">
        <v>12</v>
      </c>
      <c r="V106" s="2" t="s">
        <v>15</v>
      </c>
      <c r="W106" s="2" t="s">
        <v>17</v>
      </c>
    </row>
    <row r="107" spans="6:23" ht="22.5" thickTop="1" thickBot="1" x14ac:dyDescent="0.4">
      <c r="F107" s="15"/>
      <c r="G107" s="20">
        <v>1</v>
      </c>
      <c r="H107" s="5" t="s">
        <v>118</v>
      </c>
      <c r="I107" s="2" t="str">
        <f t="shared" ref="I107:I111" si="41" xml:space="preserve"> "VGG19"</f>
        <v>VGG19</v>
      </c>
      <c r="J107" s="2" t="str">
        <f t="shared" si="40"/>
        <v>MNIST</v>
      </c>
      <c r="K107" s="2" t="str">
        <f t="shared" si="31"/>
        <v>(3,192,192)</v>
      </c>
      <c r="L107" s="2">
        <v>10</v>
      </c>
      <c r="M107" s="2" t="str">
        <f xml:space="preserve"> "TCL + TRL"</f>
        <v>TCL + TRL</v>
      </c>
      <c r="N107" s="2" t="str">
        <f>"tcl:: (350,4,4), trl:: (150,1,1,10)"</f>
        <v>tcl:: (350,4,4), trl:: (150,1,1,10)</v>
      </c>
      <c r="O107" s="2" t="b">
        <f xml:space="preserve"> FALSE</f>
        <v>0</v>
      </c>
      <c r="P107" s="2" t="str">
        <f>"(512,6,6) --&gt; (350,4,4) --&gt; (10)"</f>
        <v>(512,6,6) --&gt; (350,4,4) --&gt; (10)</v>
      </c>
      <c r="Q107" s="10">
        <f>179248 + 54108</f>
        <v>233356</v>
      </c>
      <c r="R107" s="10">
        <f xml:space="preserve"> R106 - Q106 + Q107</f>
        <v>20257740</v>
      </c>
      <c r="S107" s="2">
        <f xml:space="preserve"> (1-(Q107/Q106))*100</f>
        <v>99.74724190986403</v>
      </c>
      <c r="T107" s="2" t="s">
        <v>13</v>
      </c>
      <c r="U107" s="2" t="s">
        <v>12</v>
      </c>
      <c r="V107" s="2" t="s">
        <v>15</v>
      </c>
      <c r="W107" s="2" t="s">
        <v>17</v>
      </c>
    </row>
    <row r="108" spans="6:23" ht="22.5" thickTop="1" thickBot="1" x14ac:dyDescent="0.4">
      <c r="F108" s="15"/>
      <c r="G108" s="20">
        <v>1</v>
      </c>
      <c r="H108" s="5" t="s">
        <v>119</v>
      </c>
      <c r="I108" s="2" t="str">
        <f t="shared" si="41"/>
        <v>VGG19</v>
      </c>
      <c r="J108" s="2" t="str">
        <f t="shared" si="40"/>
        <v>MNIST</v>
      </c>
      <c r="K108" s="2" t="str">
        <f t="shared" si="31"/>
        <v>(3,192,192)</v>
      </c>
      <c r="L108" s="2">
        <v>10</v>
      </c>
      <c r="M108" s="2" t="str">
        <f>"Reshape+TCL+TRL"</f>
        <v>Reshape+TCL+TRL</v>
      </c>
      <c r="N108" s="2" t="str">
        <f>"tcl::(1,1,1,100,2,2), trl:: (1,1,1,50,1,1,10)"</f>
        <v>tcl::(1,1,1,100,2,2), trl:: (1,1,1,50,1,1,10)</v>
      </c>
      <c r="O108" s="2" t="str">
        <f xml:space="preserve"> "(2,2,2)-type1"</f>
        <v>(2,2,2)-type1</v>
      </c>
      <c r="P108" s="2" t="str">
        <f>"(512,6,6) --&gt; (2,2,2,256,3,3) --&gt; (1,1,1,100,2,2) --&gt; (10)"</f>
        <v>(512,6,6) --&gt; (2,2,2,256,3,3) --&gt; (1,1,1,100,2,2) --&gt; (10)</v>
      </c>
      <c r="Q108" s="10">
        <f>25618 + 5607</f>
        <v>31225</v>
      </c>
      <c r="R108" s="10">
        <f>R107 -Q107 + Q108</f>
        <v>20055609</v>
      </c>
      <c r="S108" s="2">
        <f xml:space="preserve"> (1-(Q108/Q106))*100</f>
        <v>99.966178836779434</v>
      </c>
      <c r="T108" s="2" t="s">
        <v>13</v>
      </c>
      <c r="U108" s="2" t="s">
        <v>12</v>
      </c>
      <c r="V108" s="2" t="s">
        <v>15</v>
      </c>
      <c r="W108" s="2" t="s">
        <v>17</v>
      </c>
    </row>
    <row r="109" spans="6:23" ht="22.5" thickTop="1" thickBot="1" x14ac:dyDescent="0.4">
      <c r="F109" s="15"/>
      <c r="G109" s="20">
        <v>1</v>
      </c>
      <c r="H109" s="5" t="s">
        <v>120</v>
      </c>
      <c r="I109" s="2" t="str">
        <f t="shared" si="41"/>
        <v>VGG19</v>
      </c>
      <c r="J109" s="2" t="str">
        <f t="shared" si="40"/>
        <v>MNIST</v>
      </c>
      <c r="K109" s="2" t="str">
        <f t="shared" si="31"/>
        <v>(3,192,192)</v>
      </c>
      <c r="L109" s="2">
        <v>10</v>
      </c>
      <c r="M109" s="2" t="str">
        <f>"Reshape+TCL+TRL"</f>
        <v>Reshape+TCL+TRL</v>
      </c>
      <c r="N109" s="2" t="str">
        <f>"tcl::(1,1,1,100,2,2), trl:: (1,1,1,50,1,1,10)"</f>
        <v>tcl::(1,1,1,100,2,2), trl:: (1,1,1,50,1,1,10)</v>
      </c>
      <c r="O109" s="2" t="str">
        <f xml:space="preserve"> "(2,2,2)-type2"</f>
        <v>(2,2,2)-type2</v>
      </c>
      <c r="P109" s="2" t="str">
        <f>"(512,6,6) --&gt; (2,2,2,256,3,3) --&gt; (1,1,1,100,2,2) --&gt; (10)"</f>
        <v>(512,6,6) --&gt; (2,2,2,256,3,3) --&gt; (1,1,1,100,2,2) --&gt; (10)</v>
      </c>
      <c r="Q109" s="10">
        <f>25618 + 5607</f>
        <v>31225</v>
      </c>
      <c r="R109" s="10">
        <f xml:space="preserve"> R108 - Q108 + Q109</f>
        <v>20055609</v>
      </c>
      <c r="S109" s="2">
        <f xml:space="preserve"> (1-(Q109/Q106))*100</f>
        <v>99.966178836779434</v>
      </c>
      <c r="T109" s="2" t="s">
        <v>13</v>
      </c>
      <c r="U109" s="2" t="s">
        <v>12</v>
      </c>
      <c r="V109" s="2" t="s">
        <v>15</v>
      </c>
      <c r="W109" s="2" t="s">
        <v>17</v>
      </c>
    </row>
    <row r="110" spans="6:23" ht="22.5" thickTop="1" thickBot="1" x14ac:dyDescent="0.4">
      <c r="F110" s="15"/>
      <c r="G110" s="20">
        <v>1</v>
      </c>
      <c r="H110" s="5" t="s">
        <v>121</v>
      </c>
      <c r="I110" s="2" t="str">
        <f t="shared" si="41"/>
        <v>VGG19</v>
      </c>
      <c r="J110" s="2" t="str">
        <f t="shared" si="40"/>
        <v>MNIST</v>
      </c>
      <c r="K110" s="2" t="str">
        <f t="shared" si="31"/>
        <v>(3,192,192)</v>
      </c>
      <c r="L110" s="2">
        <v>10</v>
      </c>
      <c r="M110" s="2" t="str">
        <f>"Reshape+TCL+TRL"</f>
        <v>Reshape+TCL+TRL</v>
      </c>
      <c r="N110" s="2" t="str">
        <f>"tcl::(2,1,1,40,2,2), trl:: (1,1,1,10,1,1,10)"</f>
        <v>tcl::(2,1,1,40,2,2), trl:: (1,1,1,10,1,1,10)</v>
      </c>
      <c r="O110" s="2" t="str">
        <f xml:space="preserve"> "(8,2,2)-type1"</f>
        <v>(8,2,2)-type1</v>
      </c>
      <c r="P110" s="2" t="str">
        <f>"(512,6,6) --&gt; (8,2,2,64,3,3) --&gt; (2,1,1,40,2,2) --&gt; (10)"</f>
        <v>(512,6,6) --&gt; (8,2,2,64,3,3) --&gt; (2,1,1,40,2,2) --&gt; (10)</v>
      </c>
      <c r="Q110" s="10">
        <f>2592 + 608</f>
        <v>3200</v>
      </c>
      <c r="R110" s="10">
        <f>R109 -Q109+ Q110</f>
        <v>20027584</v>
      </c>
      <c r="S110" s="2">
        <f xml:space="preserve"> (1-(Q110/Q106))*100</f>
        <v>99.996533940038248</v>
      </c>
      <c r="T110" s="2" t="s">
        <v>13</v>
      </c>
      <c r="U110" s="2" t="s">
        <v>12</v>
      </c>
      <c r="V110" s="2" t="s">
        <v>15</v>
      </c>
      <c r="W110" s="2" t="s">
        <v>17</v>
      </c>
    </row>
    <row r="111" spans="6:23" ht="22.5" thickTop="1" thickBot="1" x14ac:dyDescent="0.4">
      <c r="F111" s="15"/>
      <c r="G111" s="20">
        <v>1</v>
      </c>
      <c r="H111" s="5" t="s">
        <v>122</v>
      </c>
      <c r="I111" s="2" t="str">
        <f t="shared" si="41"/>
        <v>VGG19</v>
      </c>
      <c r="J111" s="2" t="str">
        <f t="shared" si="40"/>
        <v>MNIST</v>
      </c>
      <c r="K111" s="2" t="str">
        <f t="shared" si="31"/>
        <v>(3,192,192)</v>
      </c>
      <c r="L111" s="2">
        <v>10</v>
      </c>
      <c r="M111" s="2" t="str">
        <f>"Reshape+TCL+TRL"</f>
        <v>Reshape+TCL+TRL</v>
      </c>
      <c r="N111" s="2" t="str">
        <f>"tcl::(2,1,1,40,2,2), trl:: (1,1,1,10,1,1,10)"</f>
        <v>tcl::(2,1,1,40,2,2), trl:: (1,1,1,10,1,1,10)</v>
      </c>
      <c r="O111" s="2" t="str">
        <f xml:space="preserve"> "(8,2,2)-type2"</f>
        <v>(8,2,2)-type2</v>
      </c>
      <c r="P111" s="2" t="str">
        <f>"(512,6,6) --&gt; (8,2,2,64,3,3) --&gt; (2,1,1,40,2,2) --&gt; (10)"</f>
        <v>(512,6,6) --&gt; (8,2,2,64,3,3) --&gt; (2,1,1,40,2,2) --&gt; (10)</v>
      </c>
      <c r="Q111" s="10">
        <f>2592 + 608</f>
        <v>3200</v>
      </c>
      <c r="R111" s="10">
        <f t="shared" ref="R111" si="42" xml:space="preserve"> R110 - Q110 + Q111</f>
        <v>20027584</v>
      </c>
      <c r="S111" s="2">
        <f xml:space="preserve"> (1-(Q111/Q106))*100</f>
        <v>99.996533940038248</v>
      </c>
      <c r="T111" s="2" t="s">
        <v>13</v>
      </c>
      <c r="U111" s="2" t="s">
        <v>12</v>
      </c>
      <c r="V111" s="2" t="s">
        <v>15</v>
      </c>
      <c r="W111" s="2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5" t="s">
        <v>123</v>
      </c>
      <c r="I113" s="2" t="str">
        <f xml:space="preserve"> "VGG19"</f>
        <v>VGG19</v>
      </c>
      <c r="J113" s="2" t="str">
        <f xml:space="preserve"> "CIFAR10"</f>
        <v>CIFAR10</v>
      </c>
      <c r="K113" s="2" t="str">
        <f t="shared" si="31"/>
        <v>(3,192,192)</v>
      </c>
      <c r="L113" s="2">
        <v>10</v>
      </c>
      <c r="M113" s="2" t="str">
        <f xml:space="preserve"> "Linear"</f>
        <v>Linear</v>
      </c>
      <c r="N113" s="2" t="s">
        <v>9</v>
      </c>
      <c r="O113" s="2" t="b">
        <f xml:space="preserve"> FALSE</f>
        <v>0</v>
      </c>
      <c r="P113" s="2" t="str">
        <f>"(512,6,6) --&gt; (4096) --&gt; (4096) --&gt; (10)"</f>
        <v>(512,6,6) --&gt; (4096) --&gt; (4096) --&gt; (10)</v>
      </c>
      <c r="Q113" s="10">
        <f>92323850</f>
        <v>92323850</v>
      </c>
      <c r="R113" s="10">
        <f>112348234</f>
        <v>112348234</v>
      </c>
      <c r="S113" s="2" t="s">
        <v>18</v>
      </c>
      <c r="T113" s="2" t="s">
        <v>13</v>
      </c>
      <c r="U113" s="2" t="s">
        <v>12</v>
      </c>
      <c r="V113" s="2" t="s">
        <v>15</v>
      </c>
      <c r="W113" s="2" t="s">
        <v>17</v>
      </c>
    </row>
    <row r="114" spans="6:23" ht="22.5" thickTop="1" thickBot="1" x14ac:dyDescent="0.4">
      <c r="F114" s="15"/>
      <c r="G114" s="20">
        <v>1</v>
      </c>
      <c r="H114" s="5" t="s">
        <v>124</v>
      </c>
      <c r="I114" s="2" t="str">
        <f t="shared" ref="I114:I118" si="43" xml:space="preserve"> "VGG19"</f>
        <v>VGG19</v>
      </c>
      <c r="J114" s="2" t="str">
        <f t="shared" ref="J114:J118" si="44" xml:space="preserve"> "CIFAR10"</f>
        <v>CIFAR10</v>
      </c>
      <c r="K114" s="2" t="str">
        <f t="shared" si="31"/>
        <v>(3,192,192)</v>
      </c>
      <c r="L114" s="2">
        <v>10</v>
      </c>
      <c r="M114" s="2" t="str">
        <f xml:space="preserve"> "TCL + TRL"</f>
        <v>TCL + TRL</v>
      </c>
      <c r="N114" s="2" t="str">
        <f>"tcl:: (350,4,4), trl:: (150,1,1,10)"</f>
        <v>tcl:: (350,4,4), trl:: (150,1,1,10)</v>
      </c>
      <c r="O114" s="2" t="b">
        <f xml:space="preserve"> FALSE</f>
        <v>0</v>
      </c>
      <c r="P114" s="2" t="str">
        <f>"(512,6,6) --&gt; (350,4,4) --&gt; (10)"</f>
        <v>(512,6,6) --&gt; (350,4,4) --&gt; (10)</v>
      </c>
      <c r="Q114" s="10">
        <f>179248 + 54108</f>
        <v>233356</v>
      </c>
      <c r="R114" s="10">
        <f xml:space="preserve"> R113 - Q113 + Q114</f>
        <v>20257740</v>
      </c>
      <c r="S114" s="2">
        <f xml:space="preserve"> (1-(Q114/Q113))*100</f>
        <v>99.74724190986403</v>
      </c>
      <c r="T114" s="2" t="s">
        <v>13</v>
      </c>
      <c r="U114" s="2" t="s">
        <v>12</v>
      </c>
      <c r="V114" s="2" t="s">
        <v>15</v>
      </c>
      <c r="W114" s="2" t="s">
        <v>17</v>
      </c>
    </row>
    <row r="115" spans="6:23" ht="22.5" thickTop="1" thickBot="1" x14ac:dyDescent="0.4">
      <c r="F115" s="15"/>
      <c r="G115" s="20">
        <v>1</v>
      </c>
      <c r="H115" s="5" t="s">
        <v>125</v>
      </c>
      <c r="I115" s="2" t="str">
        <f t="shared" si="43"/>
        <v>VGG19</v>
      </c>
      <c r="J115" s="2" t="str">
        <f t="shared" si="44"/>
        <v>CIFAR10</v>
      </c>
      <c r="K115" s="2" t="str">
        <f t="shared" si="31"/>
        <v>(3,192,192)</v>
      </c>
      <c r="L115" s="2">
        <v>10</v>
      </c>
      <c r="M115" s="2" t="str">
        <f>"Reshape+TCL+TRL"</f>
        <v>Reshape+TCL+TRL</v>
      </c>
      <c r="N115" s="2" t="str">
        <f>"tcl::(1,1,1,100,2,2), trl:: (1,1,1,50,1,1,10)"</f>
        <v>tcl::(1,1,1,100,2,2), trl:: (1,1,1,50,1,1,10)</v>
      </c>
      <c r="O115" s="2" t="str">
        <f xml:space="preserve"> "(2,2,2)-type1"</f>
        <v>(2,2,2)-type1</v>
      </c>
      <c r="P115" s="2" t="str">
        <f>"(512,6,6) --&gt; (2,2,2,256,3,3) --&gt; (1,1,1,100,2,2) --&gt; (10)"</f>
        <v>(512,6,6) --&gt; (2,2,2,256,3,3) --&gt; (1,1,1,100,2,2) --&gt; (10)</v>
      </c>
      <c r="Q115" s="10">
        <f>25618 + 5607</f>
        <v>31225</v>
      </c>
      <c r="R115" s="10">
        <f>R114 -Q114 + Q115</f>
        <v>20055609</v>
      </c>
      <c r="S115" s="2">
        <f xml:space="preserve"> (1-(Q115/Q113))*100</f>
        <v>99.966178836779434</v>
      </c>
      <c r="T115" s="2" t="s">
        <v>13</v>
      </c>
      <c r="U115" s="2" t="s">
        <v>12</v>
      </c>
      <c r="V115" s="2" t="s">
        <v>15</v>
      </c>
      <c r="W115" s="2" t="s">
        <v>17</v>
      </c>
    </row>
    <row r="116" spans="6:23" ht="22.5" thickTop="1" thickBot="1" x14ac:dyDescent="0.4">
      <c r="F116" s="15"/>
      <c r="G116" s="20">
        <v>1</v>
      </c>
      <c r="H116" s="5" t="s">
        <v>127</v>
      </c>
      <c r="I116" s="2" t="str">
        <f t="shared" si="43"/>
        <v>VGG19</v>
      </c>
      <c r="J116" s="2" t="str">
        <f t="shared" si="44"/>
        <v>CIFAR10</v>
      </c>
      <c r="K116" s="2" t="str">
        <f t="shared" si="31"/>
        <v>(3,192,192)</v>
      </c>
      <c r="L116" s="2">
        <v>10</v>
      </c>
      <c r="M116" s="2" t="str">
        <f>"Reshape+TCL+TRL"</f>
        <v>Reshape+TCL+TRL</v>
      </c>
      <c r="N116" s="2" t="str">
        <f>"tcl::(1,1,1,100,2,2), trl:: (1,1,1,50,1,1,10)"</f>
        <v>tcl::(1,1,1,100,2,2), trl:: (1,1,1,50,1,1,10)</v>
      </c>
      <c r="O116" s="2" t="str">
        <f xml:space="preserve"> "(2,2,2)-type2"</f>
        <v>(2,2,2)-type2</v>
      </c>
      <c r="P116" s="2" t="str">
        <f>"(512,6,6) --&gt; (2,2,2,256,3,3) --&gt; (1,1,1,100,2,2) --&gt; (10)"</f>
        <v>(512,6,6) --&gt; (2,2,2,256,3,3) --&gt; (1,1,1,100,2,2) --&gt; (10)</v>
      </c>
      <c r="Q116" s="10">
        <f>25618 + 5607</f>
        <v>31225</v>
      </c>
      <c r="R116" s="10">
        <f xml:space="preserve"> R115 - Q115 + Q116</f>
        <v>20055609</v>
      </c>
      <c r="S116" s="2">
        <f xml:space="preserve"> (1-(Q116/Q113))*100</f>
        <v>99.966178836779434</v>
      </c>
      <c r="T116" s="2" t="s">
        <v>13</v>
      </c>
      <c r="U116" s="2" t="s">
        <v>12</v>
      </c>
      <c r="V116" s="2" t="s">
        <v>15</v>
      </c>
      <c r="W116" s="2" t="s">
        <v>17</v>
      </c>
    </row>
    <row r="117" spans="6:23" ht="22.5" thickTop="1" thickBot="1" x14ac:dyDescent="0.4">
      <c r="F117" s="15"/>
      <c r="G117" s="20">
        <v>1</v>
      </c>
      <c r="H117" s="5" t="s">
        <v>128</v>
      </c>
      <c r="I117" s="2" t="str">
        <f t="shared" si="43"/>
        <v>VGG19</v>
      </c>
      <c r="J117" s="2" t="str">
        <f t="shared" si="44"/>
        <v>CIFAR10</v>
      </c>
      <c r="K117" s="2" t="str">
        <f t="shared" si="31"/>
        <v>(3,192,192)</v>
      </c>
      <c r="L117" s="2">
        <v>10</v>
      </c>
      <c r="M117" s="2" t="str">
        <f>"Reshape+TCL+TRL"</f>
        <v>Reshape+TCL+TRL</v>
      </c>
      <c r="N117" s="2" t="str">
        <f>"tcl::(2,1,1,40,2,2), trl:: (1,1,1,10,1,1,10)"</f>
        <v>tcl::(2,1,1,40,2,2), trl:: (1,1,1,10,1,1,10)</v>
      </c>
      <c r="O117" s="2" t="str">
        <f xml:space="preserve"> "(8,2,2)-type1"</f>
        <v>(8,2,2)-type1</v>
      </c>
      <c r="P117" s="2" t="str">
        <f>"(512,6,6) --&gt; (8,2,2,64,3,3) --&gt; (2,1,1,40,2,2) --&gt; (10)"</f>
        <v>(512,6,6) --&gt; (8,2,2,64,3,3) --&gt; (2,1,1,40,2,2) --&gt; (10)</v>
      </c>
      <c r="Q117" s="10">
        <f>2592 + 608</f>
        <v>3200</v>
      </c>
      <c r="R117" s="10">
        <f>R116 -Q116+ Q117</f>
        <v>20027584</v>
      </c>
      <c r="S117" s="2">
        <f xml:space="preserve"> (1-(Q117/Q113))*100</f>
        <v>99.996533940038248</v>
      </c>
      <c r="T117" s="2" t="s">
        <v>13</v>
      </c>
      <c r="U117" s="2" t="s">
        <v>12</v>
      </c>
      <c r="V117" s="2" t="s">
        <v>15</v>
      </c>
      <c r="W117" s="2" t="s">
        <v>17</v>
      </c>
    </row>
    <row r="118" spans="6:23" ht="22.5" thickTop="1" thickBot="1" x14ac:dyDescent="0.4">
      <c r="F118" s="15"/>
      <c r="G118" s="20">
        <v>1</v>
      </c>
      <c r="H118" s="5" t="s">
        <v>129</v>
      </c>
      <c r="I118" s="2" t="str">
        <f t="shared" si="43"/>
        <v>VGG19</v>
      </c>
      <c r="J118" s="2" t="str">
        <f t="shared" si="44"/>
        <v>CIFAR10</v>
      </c>
      <c r="K118" s="2" t="str">
        <f t="shared" si="31"/>
        <v>(3,192,192)</v>
      </c>
      <c r="L118" s="2">
        <v>10</v>
      </c>
      <c r="M118" s="2" t="str">
        <f>"Reshape+TCL+TRL"</f>
        <v>Reshape+TCL+TRL</v>
      </c>
      <c r="N118" s="2" t="str">
        <f>"tcl::(2,1,1,40,2,2), trl:: (1,1,1,10,1,1,10)"</f>
        <v>tcl::(2,1,1,40,2,2), trl:: (1,1,1,10,1,1,10)</v>
      </c>
      <c r="O118" s="2" t="str">
        <f xml:space="preserve"> "(8,2,2)-type2"</f>
        <v>(8,2,2)-type2</v>
      </c>
      <c r="P118" s="2" t="str">
        <f>"(512,6,6) --&gt; (8,2,2,64,3,3) --&gt; (2,1,1,40,2,2) --&gt; (10)"</f>
        <v>(512,6,6) --&gt; (8,2,2,64,3,3) --&gt; (2,1,1,40,2,2) --&gt; (10)</v>
      </c>
      <c r="Q118" s="10">
        <f>2592 + 608</f>
        <v>3200</v>
      </c>
      <c r="R118" s="10">
        <f t="shared" ref="R118" si="45" xml:space="preserve"> R117 - Q117 + Q118</f>
        <v>20027584</v>
      </c>
      <c r="S118" s="2">
        <f xml:space="preserve"> (1-(Q118/Q113))*100</f>
        <v>99.996533940038248</v>
      </c>
      <c r="T118" s="2" t="s">
        <v>13</v>
      </c>
      <c r="U118" s="2" t="s">
        <v>12</v>
      </c>
      <c r="V118" s="2" t="s">
        <v>15</v>
      </c>
      <c r="W118" s="2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22.5" thickTop="1" thickBot="1" x14ac:dyDescent="0.4">
      <c r="F120" s="15"/>
      <c r="G120" s="19">
        <v>1</v>
      </c>
      <c r="H120" s="5" t="s">
        <v>130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"Linear"</f>
        <v>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13</v>
      </c>
      <c r="U120" s="2" t="s">
        <v>12</v>
      </c>
      <c r="V120" s="2" t="s">
        <v>15</v>
      </c>
      <c r="W120" s="2" t="s">
        <v>17</v>
      </c>
    </row>
    <row r="121" spans="6:23" ht="22.5" thickTop="1" thickBot="1" x14ac:dyDescent="0.4">
      <c r="F121" s="15"/>
      <c r="G121" s="19">
        <v>1</v>
      </c>
      <c r="H121" s="5" t="s">
        <v>131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(350,4,4), trl:: (150,1,1,200)"</f>
        <v>tcl:: (350,4,4), trl:: (150,1,1,200)</v>
      </c>
      <c r="O121" s="2" t="b">
        <f xml:space="preserve"> FALSE</f>
        <v>0</v>
      </c>
      <c r="P121" s="2" t="str">
        <f>"(512,6,6) --&gt; (350,4,4) --&gt; (200)"</f>
        <v>(512,6,6) --&gt; (350,4,4) --&gt; (200)</v>
      </c>
      <c r="Q121" s="10">
        <f>179248 + 122508</f>
        <v>301756</v>
      </c>
      <c r="R121" s="10">
        <f xml:space="preserve"> R120 - Q120 + Q121</f>
        <v>20326140</v>
      </c>
      <c r="S121" s="2">
        <f xml:space="preserve"> (1-(Q121/Q120))*100</f>
        <v>99.675887636693744</v>
      </c>
      <c r="T121" s="2" t="s">
        <v>13</v>
      </c>
      <c r="U121" s="2" t="s">
        <v>12</v>
      </c>
      <c r="V121" s="2" t="s">
        <v>15</v>
      </c>
      <c r="W121" s="2" t="s">
        <v>17</v>
      </c>
    </row>
    <row r="122" spans="6:23" ht="22.5" thickTop="1" thickBot="1" x14ac:dyDescent="0.4">
      <c r="F122" s="15"/>
      <c r="G122" s="19">
        <v>1</v>
      </c>
      <c r="H122" s="5" t="s">
        <v>132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"Reshape+TCL+TRL"</f>
        <v>Reshape+TCL+TRL</v>
      </c>
      <c r="N122" s="2" t="str">
        <f>"tcl::(1,1,1,100,2,2), trl:: (1,1,1,50,1,1,200)"</f>
        <v>tcl::(1,1,1,100,2,2), trl:: (1,1,1,50,1,1,200)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25618 + 55007</f>
        <v>80625</v>
      </c>
      <c r="R122" s="10">
        <f>R121 -Q121 + Q122</f>
        <v>20105009</v>
      </c>
      <c r="S122" s="2">
        <f xml:space="preserve"> (1-(Q122/Q120))*100</f>
        <v>99.913401691129366</v>
      </c>
      <c r="T122" s="2" t="s">
        <v>13</v>
      </c>
      <c r="U122" s="2" t="s">
        <v>12</v>
      </c>
      <c r="V122" s="2" t="s">
        <v>15</v>
      </c>
      <c r="W122" s="2" t="s">
        <v>17</v>
      </c>
    </row>
    <row r="123" spans="6:23" ht="22.5" thickTop="1" thickBot="1" x14ac:dyDescent="0.4">
      <c r="F123" s="15"/>
      <c r="G123" s="19">
        <v>1</v>
      </c>
      <c r="H123" s="5" t="s">
        <v>133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"Reshape+TCL+TRL"</f>
        <v>Reshape+TCL+TRL</v>
      </c>
      <c r="N123" s="2" t="str">
        <f>"tcl::(1,1,1,100,2,2), trl:: (1,1,1,50,1,1,200)"</f>
        <v>tcl::(1,1,1,100,2,2), trl:: (1,1,1,50,1,1,200)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25618 + 55007</f>
        <v>80625</v>
      </c>
      <c r="R123" s="10">
        <f xml:space="preserve"> R122 - Q122 + Q123</f>
        <v>20105009</v>
      </c>
      <c r="S123" s="2">
        <f xml:space="preserve"> (1-(Q123/Q120))*100</f>
        <v>99.913401691129366</v>
      </c>
      <c r="T123" s="2" t="s">
        <v>13</v>
      </c>
      <c r="U123" s="2" t="s">
        <v>12</v>
      </c>
      <c r="V123" s="2" t="s">
        <v>15</v>
      </c>
      <c r="W123" s="2" t="s">
        <v>17</v>
      </c>
    </row>
    <row r="124" spans="6:23" ht="22.5" thickTop="1" thickBot="1" x14ac:dyDescent="0.4">
      <c r="F124" s="15"/>
      <c r="G124" s="20">
        <v>1</v>
      </c>
      <c r="H124" s="5" t="s">
        <v>134</v>
      </c>
      <c r="I124" s="2" t="str">
        <f t="shared" si="46"/>
        <v>VGG19</v>
      </c>
      <c r="J124" s="2" t="str">
        <f t="shared" si="47"/>
        <v>TINY</v>
      </c>
      <c r="K124" s="2" t="str">
        <f t="shared" si="31"/>
        <v>(3,192,192)</v>
      </c>
      <c r="L124" s="2">
        <v>200</v>
      </c>
      <c r="M124" s="2" t="str">
        <f>"Reshape+TCL+TRL"</f>
        <v>Reshape+TCL+TRL</v>
      </c>
      <c r="N124" s="2" t="str">
        <f>"tcl::(2,1,1,40,2,2), trl:: (1,1,1,10,1,1,200)"</f>
        <v>tcl::(2,1,1,40,2,2), trl:: (1,1,1,10,1,1,200)</v>
      </c>
      <c r="O124" s="2" t="str">
        <f xml:space="preserve"> "(8,2,2)-type1"</f>
        <v>(8,2,2)-type1</v>
      </c>
      <c r="P124" s="2" t="str">
        <f>"(512,6,6) --&gt; (8,2,2,64,3,3) --&gt; (2,1,1,40,2,2) --&gt; (200)"</f>
        <v>(512,6,6) --&gt; (8,2,2,64,3,3) --&gt; (2,1,1,40,2,2) --&gt; (200)</v>
      </c>
      <c r="Q124" s="10">
        <f>2592 + 42408</f>
        <v>45000</v>
      </c>
      <c r="R124" s="10">
        <f>R123 -Q123+ Q124</f>
        <v>20069384</v>
      </c>
      <c r="S124" s="2">
        <f xml:space="preserve"> (1-(Q124/Q120))*100</f>
        <v>99.951666060165238</v>
      </c>
      <c r="T124" s="2" t="s">
        <v>13</v>
      </c>
      <c r="U124" s="2" t="s">
        <v>12</v>
      </c>
      <c r="V124" s="2" t="s">
        <v>15</v>
      </c>
      <c r="W124" s="2" t="s">
        <v>17</v>
      </c>
    </row>
    <row r="125" spans="6:23" ht="22.5" thickTop="1" thickBot="1" x14ac:dyDescent="0.4">
      <c r="F125" s="15"/>
      <c r="G125" s="20">
        <v>1</v>
      </c>
      <c r="H125" s="5" t="s">
        <v>135</v>
      </c>
      <c r="I125" s="2" t="str">
        <f t="shared" si="46"/>
        <v>VGG19</v>
      </c>
      <c r="J125" s="2" t="str">
        <f t="shared" si="47"/>
        <v>TINY</v>
      </c>
      <c r="K125" s="2" t="str">
        <f t="shared" si="31"/>
        <v>(3,192,192)</v>
      </c>
      <c r="L125" s="2">
        <v>200</v>
      </c>
      <c r="M125" s="2" t="str">
        <f>"Reshape+TCL+TRL"</f>
        <v>Reshape+TCL+TRL</v>
      </c>
      <c r="N125" s="2" t="str">
        <f>"tcl::(2,1,1,40,2,2), trl:: (1,1,1,10,1,1,200)"</f>
        <v>tcl::(2,1,1,40,2,2), trl:: (1,1,1,10,1,1,200)</v>
      </c>
      <c r="O125" s="2" t="str">
        <f xml:space="preserve"> "(8,2,2)-type2"</f>
        <v>(8,2,2)-type2</v>
      </c>
      <c r="P125" s="2" t="str">
        <f>"(512,6,6) --&gt; (8,2,2,64,3,3) --&gt; (2,1,1,40,2,2) --&gt; (200)"</f>
        <v>(512,6,6) --&gt; (8,2,2,64,3,3) --&gt; (2,1,1,40,2,2) --&gt; (200)</v>
      </c>
      <c r="Q125" s="10">
        <f>2592 + 42408</f>
        <v>45000</v>
      </c>
      <c r="R125" s="10">
        <f t="shared" ref="R125" si="48" xml:space="preserve"> R124 - Q124 + Q125</f>
        <v>20069384</v>
      </c>
      <c r="S125" s="2">
        <f xml:space="preserve"> (1-(Q125/Q120))*100</f>
        <v>99.951666060165238</v>
      </c>
      <c r="T125" s="2" t="s">
        <v>13</v>
      </c>
      <c r="U125" s="2" t="s">
        <v>12</v>
      </c>
      <c r="V125" s="2" t="s">
        <v>15</v>
      </c>
      <c r="W125" s="2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136</v>
      </c>
    </row>
    <row r="128" spans="6:23" ht="22.5" thickTop="1" thickBot="1" x14ac:dyDescent="0.4">
      <c r="F128" s="15"/>
      <c r="G128" s="16"/>
      <c r="H128" s="5" t="s">
        <v>137</v>
      </c>
    </row>
    <row r="129" spans="6:8" ht="22.5" thickTop="1" thickBot="1" x14ac:dyDescent="0.4">
      <c r="F129" s="15"/>
      <c r="G129" s="16"/>
      <c r="H129" s="5" t="s">
        <v>138</v>
      </c>
    </row>
    <row r="130" spans="6:8" ht="22.5" thickTop="1" thickBot="1" x14ac:dyDescent="0.4">
      <c r="F130" s="15"/>
      <c r="G130" s="16"/>
      <c r="H130" s="5" t="s">
        <v>139</v>
      </c>
    </row>
    <row r="131" spans="6:8" ht="22.5" thickTop="1" thickBot="1" x14ac:dyDescent="0.4">
      <c r="F131" s="15"/>
      <c r="G131" s="16"/>
      <c r="H131" s="5" t="s">
        <v>140</v>
      </c>
    </row>
    <row r="132" spans="6:8" ht="22.5" thickTop="1" thickBot="1" x14ac:dyDescent="0.4">
      <c r="F132" s="15"/>
      <c r="G132" s="16"/>
      <c r="H132" s="5" t="s">
        <v>141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2024-04-28T08:22:43Z</dcterms:modified>
</cp:coreProperties>
</file>